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Quests" sheetId="10" r:id="rId8"/>
    <sheet name="Chests" sheetId="11" r:id="rId9"/>
    <sheet name="CodedChest" sheetId="12" r:id="rId10"/>
    <sheet name="BlitzCoin" sheetId="13" r:id="rId11"/>
    <sheet name="Battle" sheetId="15" r:id="rId12"/>
    <sheet name="Units" sheetId="9" r:id="rId13"/>
    <sheet name="Flagman" sheetId="16" r:id="rId14"/>
    <sheet name="Modules" sheetId="17" r:id="rId1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U5" i="9" l="1"/>
  <c r="AU6" i="9"/>
  <c r="AU7" i="9"/>
  <c r="AU8" i="9"/>
  <c r="AU9" i="9"/>
  <c r="AU4" i="9"/>
  <c r="AC5" i="9"/>
  <c r="AC6" i="9"/>
  <c r="AC7" i="9"/>
  <c r="AC8" i="9"/>
  <c r="AC9" i="9"/>
  <c r="AC10" i="9"/>
  <c r="AC11" i="9"/>
  <c r="AC12" i="9"/>
  <c r="AC13" i="9"/>
  <c r="AC14" i="9"/>
  <c r="AC15" i="9"/>
  <c r="AC16" i="9"/>
  <c r="AC17" i="9"/>
  <c r="AC18" i="9"/>
  <c r="AC19" i="9"/>
  <c r="AC4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AS4" i="9"/>
  <c r="AT4" i="9"/>
  <c r="AS5" i="9"/>
  <c r="AT5" i="9"/>
  <c r="AS6" i="9"/>
  <c r="AT6" i="9"/>
  <c r="AS7" i="9"/>
  <c r="AT7" i="9"/>
  <c r="AS8" i="9"/>
  <c r="AT8" i="9"/>
  <c r="AS9" i="9"/>
  <c r="AT9" i="9"/>
  <c r="AQ4" i="9"/>
  <c r="AR4" i="9"/>
  <c r="AQ5" i="9"/>
  <c r="AR5" i="9"/>
  <c r="AQ6" i="9"/>
  <c r="AR6" i="9"/>
  <c r="AQ7" i="9"/>
  <c r="AR7" i="9"/>
  <c r="AQ8" i="9"/>
  <c r="AR8" i="9"/>
  <c r="AQ9" i="9"/>
  <c r="AR9" i="9"/>
  <c r="AA4" i="9"/>
  <c r="AB4" i="9"/>
  <c r="AA5" i="9"/>
  <c r="AB5" i="9"/>
  <c r="AA6" i="9"/>
  <c r="AB6" i="9"/>
  <c r="AA7" i="9"/>
  <c r="AB7" i="9"/>
  <c r="AA8" i="9"/>
  <c r="AB8" i="9"/>
  <c r="AA9" i="9"/>
  <c r="AB9" i="9"/>
  <c r="AA10" i="9"/>
  <c r="AB10" i="9"/>
  <c r="AA11" i="9"/>
  <c r="AB11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Y4" i="9"/>
  <c r="Z4" i="9"/>
  <c r="Y5" i="9"/>
  <c r="Z5" i="9"/>
  <c r="Y6" i="9"/>
  <c r="Z6" i="9"/>
  <c r="Y7" i="9"/>
  <c r="Z7" i="9"/>
  <c r="Y8" i="9"/>
  <c r="Z8" i="9"/>
  <c r="Y9" i="9"/>
  <c r="Z9" i="9"/>
  <c r="Y10" i="9"/>
  <c r="Z10" i="9"/>
  <c r="Y11" i="9"/>
  <c r="Z11" i="9"/>
  <c r="Y12" i="9"/>
  <c r="Z12" i="9"/>
  <c r="Y13" i="9"/>
  <c r="Z13" i="9"/>
  <c r="Y14" i="9"/>
  <c r="Z14" i="9"/>
  <c r="Y15" i="9"/>
  <c r="Z15" i="9"/>
  <c r="Y16" i="9"/>
  <c r="Z16" i="9"/>
  <c r="Y17" i="9"/>
  <c r="Z17" i="9"/>
  <c r="Y18" i="9"/>
  <c r="Z18" i="9"/>
  <c r="Y19" i="9"/>
  <c r="Z19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3" i="9"/>
  <c r="H23" i="9"/>
  <c r="G24" i="9"/>
  <c r="H24" i="9"/>
  <c r="G25" i="9"/>
  <c r="H25" i="9"/>
  <c r="G26" i="9"/>
  <c r="H26" i="9"/>
  <c r="G27" i="9"/>
  <c r="H27" i="9"/>
  <c r="G28" i="9"/>
  <c r="H28" i="9"/>
  <c r="G29" i="9"/>
  <c r="H29" i="9"/>
  <c r="BW4" i="15"/>
  <c r="BX4" i="15"/>
  <c r="BW5" i="15"/>
  <c r="BX5" i="15"/>
  <c r="BW6" i="15"/>
  <c r="BX6" i="15"/>
  <c r="BW7" i="15"/>
  <c r="BX7" i="15"/>
  <c r="BX8" i="15"/>
  <c r="BW9" i="15"/>
  <c r="BX9" i="15"/>
  <c r="BW10" i="15"/>
  <c r="BX10" i="15"/>
  <c r="BW11" i="15"/>
  <c r="BX11" i="15"/>
  <c r="BW12" i="15"/>
  <c r="BX12" i="15"/>
  <c r="BW13" i="15"/>
  <c r="BX13" i="15"/>
  <c r="BX14" i="15"/>
  <c r="BW15" i="15"/>
  <c r="BX15" i="15"/>
  <c r="BW16" i="15"/>
  <c r="BX16" i="15"/>
  <c r="BW17" i="15"/>
  <c r="BX17" i="15"/>
  <c r="BJ4" i="9"/>
  <c r="BK4" i="9"/>
  <c r="BJ5" i="9"/>
  <c r="BK5" i="9"/>
  <c r="BJ6" i="9"/>
  <c r="BK6" i="9"/>
  <c r="BJ7" i="9"/>
  <c r="BK7" i="9"/>
  <c r="BJ8" i="9"/>
  <c r="BK8" i="9"/>
  <c r="BJ9" i="9"/>
  <c r="BK9" i="9"/>
  <c r="BJ10" i="9"/>
  <c r="BK10" i="9"/>
  <c r="BJ11" i="9"/>
  <c r="BK11" i="9"/>
  <c r="BK12" i="9"/>
  <c r="BJ13" i="9"/>
  <c r="BK13" i="9"/>
  <c r="BJ14" i="9"/>
  <c r="BK14" i="9"/>
  <c r="BJ15" i="9"/>
  <c r="BK15" i="9"/>
  <c r="BJ16" i="9"/>
  <c r="BK16" i="9"/>
  <c r="BJ17" i="9"/>
  <c r="BK17" i="9"/>
  <c r="BJ18" i="9"/>
  <c r="BK18" i="9"/>
  <c r="BJ19" i="9"/>
  <c r="BK19" i="9"/>
  <c r="BJ20" i="9"/>
  <c r="BK20" i="9"/>
  <c r="BJ21" i="9"/>
  <c r="BK21" i="9"/>
  <c r="BK22" i="9"/>
  <c r="BJ23" i="9"/>
  <c r="BK23" i="9"/>
  <c r="BJ24" i="9"/>
  <c r="BK24" i="9"/>
  <c r="BJ25" i="9"/>
  <c r="BK25" i="9"/>
  <c r="BJ26" i="9"/>
  <c r="BK26" i="9"/>
  <c r="BJ27" i="9"/>
  <c r="BK27" i="9"/>
  <c r="BJ28" i="9"/>
  <c r="BK28" i="9"/>
  <c r="BJ29" i="9"/>
  <c r="BK29" i="9"/>
  <c r="BA4" i="9"/>
  <c r="BB4" i="9"/>
  <c r="BA5" i="9"/>
  <c r="BB5" i="9"/>
  <c r="BI4" i="9"/>
  <c r="BI5" i="9"/>
  <c r="BI6" i="9"/>
  <c r="BI7" i="9"/>
  <c r="BI8" i="9"/>
  <c r="BI9" i="9"/>
  <c r="BI10" i="9"/>
  <c r="BI11" i="9"/>
  <c r="BI12" i="9"/>
  <c r="BI13" i="9"/>
  <c r="BI14" i="9"/>
  <c r="BI15" i="9"/>
  <c r="BI16" i="9"/>
  <c r="BI17" i="9"/>
  <c r="BI18" i="9"/>
  <c r="BI19" i="9"/>
  <c r="BI20" i="9"/>
  <c r="BI21" i="9"/>
  <c r="BI22" i="9"/>
  <c r="BI23" i="9"/>
  <c r="BI24" i="9"/>
  <c r="BI25" i="9"/>
  <c r="BI26" i="9"/>
  <c r="BI27" i="9"/>
  <c r="BI28" i="9"/>
  <c r="BI29" i="9"/>
  <c r="BG29" i="9"/>
  <c r="BG28" i="9"/>
  <c r="BG27" i="9"/>
  <c r="BG26" i="9"/>
  <c r="BG25" i="9"/>
  <c r="BG24" i="9"/>
  <c r="BG23" i="9"/>
  <c r="BG22" i="9"/>
  <c r="BG21" i="9"/>
  <c r="BG20" i="9"/>
  <c r="BG19" i="9"/>
  <c r="BG18" i="9"/>
  <c r="BG17" i="9"/>
  <c r="BG16" i="9"/>
  <c r="BG15" i="9"/>
  <c r="BG14" i="9"/>
  <c r="BG13" i="9"/>
  <c r="BG12" i="9"/>
  <c r="BG11" i="9"/>
  <c r="BG10" i="9"/>
  <c r="BG9" i="9"/>
  <c r="BG8" i="9"/>
  <c r="BG7" i="9"/>
  <c r="BG6" i="9"/>
  <c r="BG5" i="9"/>
  <c r="BG4" i="9"/>
  <c r="BG3" i="9"/>
  <c r="IY8" i="1"/>
  <c r="IY9" i="1"/>
  <c r="IY10" i="1"/>
  <c r="IY11" i="1"/>
  <c r="IY12" i="1"/>
  <c r="IY13" i="1"/>
  <c r="IY14" i="1"/>
  <c r="IY15" i="1"/>
  <c r="IY16" i="1"/>
  <c r="IY17" i="1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AC4" i="16"/>
  <c r="AC5" i="16"/>
  <c r="AC6" i="16"/>
  <c r="AC7" i="16"/>
  <c r="AC8" i="16"/>
  <c r="AD4" i="16"/>
  <c r="AD5" i="16"/>
  <c r="AD6" i="16"/>
  <c r="AD7" i="16"/>
  <c r="AD8" i="16"/>
  <c r="Y8" i="16"/>
  <c r="Y7" i="16"/>
  <c r="Y6" i="16"/>
  <c r="Y5" i="16"/>
  <c r="Y4" i="16"/>
  <c r="Y3" i="16"/>
  <c r="T4" i="16"/>
  <c r="T5" i="16"/>
  <c r="T6" i="16"/>
  <c r="T7" i="16"/>
  <c r="T8" i="16"/>
  <c r="T9" i="16"/>
  <c r="T10" i="16"/>
  <c r="T11" i="16"/>
  <c r="T12" i="16"/>
  <c r="S4" i="16"/>
  <c r="S5" i="16"/>
  <c r="S6" i="16"/>
  <c r="S7" i="16"/>
  <c r="S8" i="16"/>
  <c r="S9" i="16"/>
  <c r="S10" i="16"/>
  <c r="S11" i="16"/>
  <c r="S12" i="16"/>
  <c r="O12" i="16"/>
  <c r="O11" i="16"/>
  <c r="O10" i="16"/>
  <c r="O9" i="16"/>
  <c r="O8" i="16"/>
  <c r="O7" i="16"/>
  <c r="O6" i="16"/>
  <c r="O5" i="16"/>
  <c r="O4" i="16"/>
  <c r="O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E16" i="1"/>
  <c r="JE17" i="1"/>
  <c r="JD14" i="1"/>
  <c r="JD15" i="1"/>
  <c r="JD16" i="1"/>
  <c r="JD17" i="1"/>
  <c r="JE4" i="1"/>
  <c r="JE5" i="1"/>
  <c r="JE6" i="1"/>
  <c r="JE7" i="1"/>
  <c r="JE8" i="1"/>
  <c r="JE9" i="1"/>
  <c r="JE10" i="1"/>
  <c r="JE11" i="1"/>
  <c r="JE12" i="1"/>
  <c r="JE13" i="1"/>
  <c r="JE14" i="1"/>
  <c r="JD4" i="1"/>
  <c r="JD5" i="1"/>
  <c r="JD6" i="1"/>
  <c r="JD7" i="1"/>
  <c r="JD8" i="1"/>
  <c r="JD9" i="1"/>
  <c r="JD10" i="1"/>
  <c r="JD11" i="1"/>
  <c r="JD12" i="1"/>
  <c r="JC4" i="1"/>
  <c r="JC5" i="1"/>
  <c r="JC6" i="1"/>
  <c r="JC7" i="1"/>
  <c r="JC8" i="1"/>
  <c r="JC9" i="1"/>
  <c r="JC10" i="1"/>
  <c r="JC12" i="1"/>
  <c r="JC13" i="1"/>
  <c r="JC14" i="1"/>
  <c r="JC15" i="1"/>
  <c r="JC16" i="1"/>
  <c r="JC17" i="1"/>
  <c r="DL12" i="15"/>
  <c r="DL13" i="15"/>
  <c r="DL14" i="15"/>
  <c r="DL16" i="15"/>
  <c r="DL17" i="15"/>
  <c r="DK14" i="15"/>
  <c r="DK15" i="15"/>
  <c r="DK16" i="15"/>
  <c r="DK17" i="15"/>
  <c r="DJ12" i="15"/>
  <c r="DJ13" i="15"/>
  <c r="DJ14" i="15"/>
  <c r="DJ15" i="15"/>
  <c r="DJ16" i="15"/>
  <c r="DJ17" i="15"/>
  <c r="CZ13" i="15"/>
  <c r="CZ12" i="15"/>
  <c r="DI12" i="15"/>
  <c r="DH13" i="15"/>
  <c r="DI13" i="15"/>
  <c r="CZ14" i="15"/>
  <c r="DH14" i="15"/>
  <c r="DI14" i="15"/>
  <c r="CZ15" i="15"/>
  <c r="DH15" i="15"/>
  <c r="DI15" i="15"/>
  <c r="CZ16" i="15"/>
  <c r="DH16" i="15"/>
  <c r="DI16" i="15"/>
  <c r="CZ17" i="15"/>
  <c r="DH17" i="15"/>
  <c r="DI17" i="15"/>
  <c r="DF4" i="15"/>
  <c r="DF5" i="15"/>
  <c r="DE5" i="15"/>
  <c r="DE4" i="15"/>
  <c r="DE3" i="15"/>
  <c r="DG3" i="15"/>
  <c r="DG4" i="15"/>
  <c r="DG5" i="15"/>
  <c r="DF6" i="15"/>
  <c r="DE6" i="15"/>
  <c r="DG6" i="15"/>
  <c r="DF7" i="15"/>
  <c r="DE7" i="15"/>
  <c r="DG7" i="15"/>
  <c r="DF8" i="15"/>
  <c r="DE8" i="15"/>
  <c r="DG8" i="15"/>
  <c r="DF9" i="15"/>
  <c r="DE9" i="15"/>
  <c r="DG9" i="15"/>
  <c r="DF10" i="15"/>
  <c r="DE10" i="15"/>
  <c r="DG10" i="15"/>
  <c r="DF11" i="15"/>
  <c r="DE11" i="15"/>
  <c r="G11" i="15"/>
  <c r="G10" i="15"/>
  <c r="G9" i="15"/>
  <c r="G8" i="15"/>
  <c r="G7" i="15"/>
  <c r="G6" i="15"/>
  <c r="G5" i="15"/>
  <c r="G4" i="15"/>
  <c r="K4" i="15"/>
  <c r="L4" i="15"/>
  <c r="K5" i="15"/>
  <c r="L5" i="15"/>
  <c r="K6" i="15"/>
  <c r="L6" i="15"/>
  <c r="K7" i="15"/>
  <c r="L7" i="15"/>
  <c r="K8" i="15"/>
  <c r="L8" i="15"/>
  <c r="K9" i="15"/>
  <c r="L9" i="15"/>
  <c r="K10" i="15"/>
  <c r="L10" i="15"/>
  <c r="K11" i="15"/>
  <c r="L11" i="15"/>
  <c r="DG11" i="15"/>
  <c r="DF12" i="15"/>
  <c r="DE12" i="15"/>
  <c r="G12" i="15"/>
  <c r="K12" i="15"/>
  <c r="L12" i="15"/>
  <c r="DG12" i="15"/>
  <c r="DF13" i="15"/>
  <c r="DE13" i="15"/>
  <c r="G13" i="15"/>
  <c r="K13" i="15"/>
  <c r="L13" i="15"/>
  <c r="DG13" i="15"/>
  <c r="DF14" i="15"/>
  <c r="DE14" i="15"/>
  <c r="G14" i="15"/>
  <c r="K14" i="15"/>
  <c r="L14" i="15"/>
  <c r="DG14" i="15"/>
  <c r="DF15" i="15"/>
  <c r="DE15" i="15"/>
  <c r="G15" i="15"/>
  <c r="K15" i="15"/>
  <c r="L15" i="15"/>
  <c r="DG15" i="15"/>
  <c r="DF16" i="15"/>
  <c r="DE16" i="15"/>
  <c r="G16" i="15"/>
  <c r="K16" i="15"/>
  <c r="L16" i="15"/>
  <c r="DG16" i="15"/>
  <c r="DF17" i="15"/>
  <c r="DE17" i="15"/>
  <c r="G17" i="15"/>
  <c r="K17" i="15"/>
  <c r="L17" i="15"/>
  <c r="DG17" i="15"/>
  <c r="DA4" i="15"/>
  <c r="DA5" i="15"/>
  <c r="CZ5" i="15"/>
  <c r="CZ4" i="15"/>
  <c r="CZ3" i="15"/>
  <c r="DB3" i="15"/>
  <c r="DB4" i="15"/>
  <c r="DB5" i="15"/>
  <c r="DA6" i="15"/>
  <c r="CZ6" i="15"/>
  <c r="DB6" i="15"/>
  <c r="DA7" i="15"/>
  <c r="CZ7" i="15"/>
  <c r="DB7" i="15"/>
  <c r="DA8" i="15"/>
  <c r="CZ8" i="15"/>
  <c r="DB8" i="15"/>
  <c r="DA9" i="15"/>
  <c r="CZ9" i="15"/>
  <c r="DB9" i="15"/>
  <c r="DA10" i="15"/>
  <c r="CZ10" i="15"/>
  <c r="DB10" i="15"/>
  <c r="DA11" i="15"/>
  <c r="CZ11" i="15"/>
  <c r="DB11" i="15"/>
  <c r="DA12" i="15"/>
  <c r="DB12" i="15"/>
  <c r="DA13" i="15"/>
  <c r="DB13" i="15"/>
  <c r="DA14" i="15"/>
  <c r="DB14" i="15"/>
  <c r="DA15" i="15"/>
  <c r="DB15" i="15"/>
  <c r="DA16" i="15"/>
  <c r="DB16" i="15"/>
  <c r="DA17" i="15"/>
  <c r="DB17" i="15"/>
  <c r="CV4" i="15"/>
  <c r="CV5" i="15"/>
  <c r="CU5" i="15"/>
  <c r="CU4" i="15"/>
  <c r="CU3" i="15"/>
  <c r="CW3" i="15"/>
  <c r="CW4" i="15"/>
  <c r="CW5" i="15"/>
  <c r="CV6" i="15"/>
  <c r="CU6" i="15"/>
  <c r="CW6" i="15"/>
  <c r="CV7" i="15"/>
  <c r="CU7" i="15"/>
  <c r="CW7" i="15"/>
  <c r="CV8" i="15"/>
  <c r="CU8" i="15"/>
  <c r="CW8" i="15"/>
  <c r="CV9" i="15"/>
  <c r="CU9" i="15"/>
  <c r="CW9" i="15"/>
  <c r="CV10" i="15"/>
  <c r="CU10" i="15"/>
  <c r="CW10" i="15"/>
  <c r="CV11" i="15"/>
  <c r="CU11" i="15"/>
  <c r="CW11" i="15"/>
  <c r="CV12" i="15"/>
  <c r="CU12" i="15"/>
  <c r="CW12" i="15"/>
  <c r="CV13" i="15"/>
  <c r="CU13" i="15"/>
  <c r="CW13" i="15"/>
  <c r="CV14" i="15"/>
  <c r="CU14" i="15"/>
  <c r="CW14" i="15"/>
  <c r="CV15" i="15"/>
  <c r="CU15" i="15"/>
  <c r="CW15" i="15"/>
  <c r="CV16" i="15"/>
  <c r="CU16" i="15"/>
  <c r="CW16" i="15"/>
  <c r="CV17" i="15"/>
  <c r="CU17" i="15"/>
  <c r="CW17" i="15"/>
  <c r="CQ4" i="15"/>
  <c r="CQ5" i="15"/>
  <c r="CP5" i="15"/>
  <c r="CR5" i="15"/>
  <c r="CQ6" i="15"/>
  <c r="CP6" i="15"/>
  <c r="CR6" i="15"/>
  <c r="CQ7" i="15"/>
  <c r="CP7" i="15"/>
  <c r="CR7" i="15"/>
  <c r="CQ8" i="15"/>
  <c r="CP8" i="15"/>
  <c r="CR8" i="15"/>
  <c r="CQ9" i="15"/>
  <c r="CP9" i="15"/>
  <c r="CR9" i="15"/>
  <c r="CQ10" i="15"/>
  <c r="CP10" i="15"/>
  <c r="CR10" i="15"/>
  <c r="CQ11" i="15"/>
  <c r="CP11" i="15"/>
  <c r="CR11" i="15"/>
  <c r="CQ12" i="15"/>
  <c r="CP12" i="15"/>
  <c r="CR12" i="15"/>
  <c r="CQ13" i="15"/>
  <c r="CP13" i="15"/>
  <c r="CR13" i="15"/>
  <c r="CQ14" i="15"/>
  <c r="CP14" i="15"/>
  <c r="CR14" i="15"/>
  <c r="CQ15" i="15"/>
  <c r="CP15" i="15"/>
  <c r="CR15" i="15"/>
  <c r="CQ16" i="15"/>
  <c r="CP16" i="15"/>
  <c r="CR16" i="15"/>
  <c r="CQ17" i="15"/>
  <c r="CP17" i="15"/>
  <c r="CR17" i="15"/>
  <c r="CP4" i="15"/>
  <c r="CR4" i="15"/>
  <c r="CP3" i="15"/>
  <c r="CR3" i="15"/>
  <c r="CL4" i="15"/>
  <c r="CL5" i="15"/>
  <c r="CK5" i="15"/>
  <c r="CM5" i="15"/>
  <c r="CL6" i="15"/>
  <c r="CK6" i="15"/>
  <c r="CM6" i="15"/>
  <c r="CL7" i="15"/>
  <c r="CK7" i="15"/>
  <c r="CM7" i="15"/>
  <c r="CL8" i="15"/>
  <c r="CK8" i="15"/>
  <c r="CM8" i="15"/>
  <c r="CL9" i="15"/>
  <c r="CK9" i="15"/>
  <c r="CM9" i="15"/>
  <c r="CL10" i="15"/>
  <c r="CK10" i="15"/>
  <c r="CM10" i="15"/>
  <c r="CL11" i="15"/>
  <c r="CK11" i="15"/>
  <c r="CM11" i="15"/>
  <c r="CL12" i="15"/>
  <c r="CK12" i="15"/>
  <c r="CM12" i="15"/>
  <c r="CL13" i="15"/>
  <c r="CK13" i="15"/>
  <c r="CM13" i="15"/>
  <c r="CL14" i="15"/>
  <c r="CK14" i="15"/>
  <c r="CM14" i="15"/>
  <c r="CL15" i="15"/>
  <c r="CK15" i="15"/>
  <c r="CM15" i="15"/>
  <c r="CL16" i="15"/>
  <c r="CK16" i="15"/>
  <c r="CM16" i="15"/>
  <c r="CL17" i="15"/>
  <c r="CK17" i="15"/>
  <c r="CM17" i="15"/>
  <c r="CK4" i="15"/>
  <c r="CK3" i="15"/>
  <c r="CM3" i="15"/>
  <c r="CM4" i="15"/>
  <c r="CG4" i="15"/>
  <c r="CG5" i="15"/>
  <c r="CF5" i="15"/>
  <c r="CF4" i="15"/>
  <c r="CF3" i="15"/>
  <c r="CH3" i="15"/>
  <c r="CH4" i="15"/>
  <c r="CH5" i="15"/>
  <c r="CG6" i="15"/>
  <c r="CF6" i="15"/>
  <c r="CH6" i="15"/>
  <c r="CG7" i="15"/>
  <c r="CF7" i="15"/>
  <c r="CH7" i="15"/>
  <c r="CG8" i="15"/>
  <c r="CF8" i="15"/>
  <c r="CH8" i="15"/>
  <c r="CG9" i="15"/>
  <c r="CF9" i="15"/>
  <c r="CH9" i="15"/>
  <c r="CG10" i="15"/>
  <c r="CF10" i="15"/>
  <c r="CH10" i="15"/>
  <c r="CG11" i="15"/>
  <c r="CF11" i="15"/>
  <c r="CH11" i="15"/>
  <c r="CG12" i="15"/>
  <c r="CF12" i="15"/>
  <c r="CH12" i="15"/>
  <c r="CG13" i="15"/>
  <c r="CF13" i="15"/>
  <c r="CH13" i="15"/>
  <c r="CG14" i="15"/>
  <c r="CF14" i="15"/>
  <c r="CH14" i="15"/>
  <c r="CG15" i="15"/>
  <c r="CF15" i="15"/>
  <c r="CH15" i="15"/>
  <c r="CG16" i="15"/>
  <c r="CF16" i="15"/>
  <c r="CH16" i="15"/>
  <c r="CG17" i="15"/>
  <c r="CF17" i="15"/>
  <c r="CH17" i="15"/>
  <c r="CB4" i="15"/>
  <c r="CB5" i="15"/>
  <c r="CA5" i="15"/>
  <c r="CA4" i="15"/>
  <c r="CA3" i="15"/>
  <c r="CC3" i="15"/>
  <c r="CC4" i="15"/>
  <c r="CC5" i="15"/>
  <c r="CB6" i="15"/>
  <c r="CA6" i="15"/>
  <c r="CC6" i="15"/>
  <c r="CB7" i="15"/>
  <c r="CA7" i="15"/>
  <c r="CC7" i="15"/>
  <c r="CB8" i="15"/>
  <c r="CA8" i="15"/>
  <c r="CC8" i="15"/>
  <c r="CB9" i="15"/>
  <c r="CA9" i="15"/>
  <c r="CC9" i="15"/>
  <c r="CB10" i="15"/>
  <c r="CA10" i="15"/>
  <c r="CC10" i="15"/>
  <c r="CB11" i="15"/>
  <c r="CA11" i="15"/>
  <c r="CC11" i="15"/>
  <c r="CB12" i="15"/>
  <c r="CA12" i="15"/>
  <c r="CC12" i="15"/>
  <c r="CB13" i="15"/>
  <c r="CA13" i="15"/>
  <c r="CC13" i="15"/>
  <c r="CB14" i="15"/>
  <c r="CA14" i="15"/>
  <c r="CC14" i="15"/>
  <c r="CB15" i="15"/>
  <c r="CA15" i="15"/>
  <c r="CC15" i="15"/>
  <c r="CB16" i="15"/>
  <c r="CA16" i="15"/>
  <c r="CC16" i="15"/>
  <c r="CB17" i="15"/>
  <c r="CA17" i="15"/>
  <c r="CC17" i="15"/>
  <c r="BU4" i="15"/>
  <c r="BU5" i="15"/>
  <c r="BT5" i="15"/>
  <c r="BV5" i="15"/>
  <c r="BU6" i="15"/>
  <c r="BT6" i="15"/>
  <c r="BV6" i="15"/>
  <c r="BU7" i="15"/>
  <c r="BT7" i="15"/>
  <c r="BV7" i="15"/>
  <c r="BU8" i="15"/>
  <c r="BT8" i="15"/>
  <c r="BV8" i="15"/>
  <c r="BU9" i="15"/>
  <c r="BT9" i="15"/>
  <c r="BV9" i="15"/>
  <c r="BU10" i="15"/>
  <c r="BT10" i="15"/>
  <c r="BV10" i="15"/>
  <c r="BU11" i="15"/>
  <c r="BT11" i="15"/>
  <c r="BV11" i="15"/>
  <c r="BU12" i="15"/>
  <c r="BT12" i="15"/>
  <c r="BV12" i="15"/>
  <c r="BU13" i="15"/>
  <c r="BT13" i="15"/>
  <c r="BV13" i="15"/>
  <c r="BU14" i="15"/>
  <c r="BT14" i="15"/>
  <c r="BV14" i="15"/>
  <c r="BU15" i="15"/>
  <c r="BT15" i="15"/>
  <c r="BV15" i="15"/>
  <c r="BU16" i="15"/>
  <c r="BT16" i="15"/>
  <c r="BV16" i="15"/>
  <c r="BU17" i="15"/>
  <c r="BT17" i="15"/>
  <c r="BV17" i="15"/>
  <c r="BT4" i="15"/>
  <c r="BV4" i="15"/>
  <c r="BT3" i="15"/>
  <c r="BV3" i="15"/>
  <c r="BP4" i="15"/>
  <c r="BP5" i="15"/>
  <c r="BO5" i="15"/>
  <c r="BO4" i="15"/>
  <c r="BO3" i="15"/>
  <c r="BQ3" i="15"/>
  <c r="BQ4" i="15"/>
  <c r="BQ5" i="15"/>
  <c r="BP6" i="15"/>
  <c r="BO6" i="15"/>
  <c r="BQ6" i="15"/>
  <c r="BP7" i="15"/>
  <c r="BO7" i="15"/>
  <c r="BQ7" i="15"/>
  <c r="BP8" i="15"/>
  <c r="BO8" i="15"/>
  <c r="BQ8" i="15"/>
  <c r="BP9" i="15"/>
  <c r="BO9" i="15"/>
  <c r="BQ9" i="15"/>
  <c r="BP10" i="15"/>
  <c r="BO10" i="15"/>
  <c r="BQ10" i="15"/>
  <c r="BP11" i="15"/>
  <c r="BO11" i="15"/>
  <c r="BQ11" i="15"/>
  <c r="BP12" i="15"/>
  <c r="BO12" i="15"/>
  <c r="BQ12" i="15"/>
  <c r="BP13" i="15"/>
  <c r="BO13" i="15"/>
  <c r="BQ13" i="15"/>
  <c r="BP14" i="15"/>
  <c r="BO14" i="15"/>
  <c r="BQ14" i="15"/>
  <c r="BP15" i="15"/>
  <c r="BO15" i="15"/>
  <c r="BQ15" i="15"/>
  <c r="BP16" i="15"/>
  <c r="BO16" i="15"/>
  <c r="BQ16" i="15"/>
  <c r="BP17" i="15"/>
  <c r="BO17" i="15"/>
  <c r="BQ17" i="15"/>
  <c r="BK4" i="15"/>
  <c r="BK5" i="15"/>
  <c r="BJ5" i="15"/>
  <c r="BJ4" i="15"/>
  <c r="BJ3" i="15"/>
  <c r="BL3" i="15"/>
  <c r="BL4" i="15"/>
  <c r="BL5" i="15"/>
  <c r="BK6" i="15"/>
  <c r="BJ6" i="15"/>
  <c r="BL6" i="15"/>
  <c r="BK7" i="15"/>
  <c r="BJ7" i="15"/>
  <c r="BL7" i="15"/>
  <c r="BK8" i="15"/>
  <c r="BJ8" i="15"/>
  <c r="BL8" i="15"/>
  <c r="BK9" i="15"/>
  <c r="BJ9" i="15"/>
  <c r="BL9" i="15"/>
  <c r="BK10" i="15"/>
  <c r="BJ10" i="15"/>
  <c r="BL10" i="15"/>
  <c r="BK11" i="15"/>
  <c r="BJ11" i="15"/>
  <c r="BL11" i="15"/>
  <c r="BK12" i="15"/>
  <c r="BJ12" i="15"/>
  <c r="BL12" i="15"/>
  <c r="BK13" i="15"/>
  <c r="BJ13" i="15"/>
  <c r="BL13" i="15"/>
  <c r="BK14" i="15"/>
  <c r="BJ14" i="15"/>
  <c r="BL14" i="15"/>
  <c r="BK15" i="15"/>
  <c r="BJ15" i="15"/>
  <c r="BL15" i="15"/>
  <c r="BK16" i="15"/>
  <c r="BJ16" i="15"/>
  <c r="BL16" i="15"/>
  <c r="BK17" i="15"/>
  <c r="BJ17" i="15"/>
  <c r="BL17" i="15"/>
  <c r="BF4" i="15"/>
  <c r="BF5" i="15"/>
  <c r="BE5" i="15"/>
  <c r="BG5" i="15"/>
  <c r="BF6" i="15"/>
  <c r="BE6" i="15"/>
  <c r="BG6" i="15"/>
  <c r="BF7" i="15"/>
  <c r="BE7" i="15"/>
  <c r="BG7" i="15"/>
  <c r="BF8" i="15"/>
  <c r="BE8" i="15"/>
  <c r="BG8" i="15"/>
  <c r="BF9" i="15"/>
  <c r="BE9" i="15"/>
  <c r="BG9" i="15"/>
  <c r="BF10" i="15"/>
  <c r="BE10" i="15"/>
  <c r="BG10" i="15"/>
  <c r="BF11" i="15"/>
  <c r="BE11" i="15"/>
  <c r="BG11" i="15"/>
  <c r="BF12" i="15"/>
  <c r="BE12" i="15"/>
  <c r="BG12" i="15"/>
  <c r="BF13" i="15"/>
  <c r="BE13" i="15"/>
  <c r="BG13" i="15"/>
  <c r="BF14" i="15"/>
  <c r="BE14" i="15"/>
  <c r="BG14" i="15"/>
  <c r="BF15" i="15"/>
  <c r="BE15" i="15"/>
  <c r="BG15" i="15"/>
  <c r="BF16" i="15"/>
  <c r="BE16" i="15"/>
  <c r="BG16" i="15"/>
  <c r="BF17" i="15"/>
  <c r="BE17" i="15"/>
  <c r="BG17" i="15"/>
  <c r="BE4" i="15"/>
  <c r="BG4" i="15"/>
  <c r="BE3" i="15"/>
  <c r="BG3" i="15"/>
  <c r="BA4" i="15"/>
  <c r="BA5" i="15"/>
  <c r="AZ5" i="15"/>
  <c r="BB5" i="15"/>
  <c r="BA6" i="15"/>
  <c r="AZ6" i="15"/>
  <c r="BB6" i="15"/>
  <c r="BA7" i="15"/>
  <c r="AZ7" i="15"/>
  <c r="BB7" i="15"/>
  <c r="BA8" i="15"/>
  <c r="AZ8" i="15"/>
  <c r="BB8" i="15"/>
  <c r="BA9" i="15"/>
  <c r="AZ9" i="15"/>
  <c r="BB9" i="15"/>
  <c r="BA10" i="15"/>
  <c r="AZ10" i="15"/>
  <c r="BB10" i="15"/>
  <c r="BA11" i="15"/>
  <c r="AZ11" i="15"/>
  <c r="BB11" i="15"/>
  <c r="BA12" i="15"/>
  <c r="AZ12" i="15"/>
  <c r="BB12" i="15"/>
  <c r="BA13" i="15"/>
  <c r="AZ13" i="15"/>
  <c r="BB13" i="15"/>
  <c r="BA14" i="15"/>
  <c r="AZ14" i="15"/>
  <c r="BB14" i="15"/>
  <c r="BA15" i="15"/>
  <c r="AZ15" i="15"/>
  <c r="BB15" i="15"/>
  <c r="BA16" i="15"/>
  <c r="AZ16" i="15"/>
  <c r="BB16" i="15"/>
  <c r="BA17" i="15"/>
  <c r="AZ17" i="15"/>
  <c r="BB17" i="15"/>
  <c r="AZ3" i="15"/>
  <c r="BB3" i="15"/>
  <c r="AZ4" i="15"/>
  <c r="BB4" i="15"/>
  <c r="AV4" i="15"/>
  <c r="AV5" i="15"/>
  <c r="AU5" i="15"/>
  <c r="AW5" i="15"/>
  <c r="AV6" i="15"/>
  <c r="AU6" i="15"/>
  <c r="AW6" i="15"/>
  <c r="AV7" i="15"/>
  <c r="AU7" i="15"/>
  <c r="AW7" i="15"/>
  <c r="AV8" i="15"/>
  <c r="AU8" i="15"/>
  <c r="AW8" i="15"/>
  <c r="AV9" i="15"/>
  <c r="AU9" i="15"/>
  <c r="AW9" i="15"/>
  <c r="AV10" i="15"/>
  <c r="AU10" i="15"/>
  <c r="AW10" i="15"/>
  <c r="AV11" i="15"/>
  <c r="AU11" i="15"/>
  <c r="AW11" i="15"/>
  <c r="AV12" i="15"/>
  <c r="AU12" i="15"/>
  <c r="AW12" i="15"/>
  <c r="AV13" i="15"/>
  <c r="AU13" i="15"/>
  <c r="AW13" i="15"/>
  <c r="AV14" i="15"/>
  <c r="AU14" i="15"/>
  <c r="AW14" i="15"/>
  <c r="AV15" i="15"/>
  <c r="AU15" i="15"/>
  <c r="AW15" i="15"/>
  <c r="AV16" i="15"/>
  <c r="AU16" i="15"/>
  <c r="AW16" i="15"/>
  <c r="AV17" i="15"/>
  <c r="AU17" i="15"/>
  <c r="AW17" i="15"/>
  <c r="AU4" i="15"/>
  <c r="AW4" i="15"/>
  <c r="AU3" i="15"/>
  <c r="AW3" i="15"/>
  <c r="AQ4" i="15"/>
  <c r="AQ5" i="15"/>
  <c r="AP5" i="15"/>
  <c r="AR5" i="15"/>
  <c r="AQ6" i="15"/>
  <c r="AP6" i="15"/>
  <c r="AR6" i="15"/>
  <c r="AQ7" i="15"/>
  <c r="AP7" i="15"/>
  <c r="AR7" i="15"/>
  <c r="AQ8" i="15"/>
  <c r="AP8" i="15"/>
  <c r="AR8" i="15"/>
  <c r="AQ9" i="15"/>
  <c r="AP9" i="15"/>
  <c r="AR9" i="15"/>
  <c r="AQ10" i="15"/>
  <c r="AP10" i="15"/>
  <c r="AR10" i="15"/>
  <c r="AQ11" i="15"/>
  <c r="AP11" i="15"/>
  <c r="AR11" i="15"/>
  <c r="AQ12" i="15"/>
  <c r="AP12" i="15"/>
  <c r="AR12" i="15"/>
  <c r="AQ13" i="15"/>
  <c r="AP13" i="15"/>
  <c r="AR13" i="15"/>
  <c r="AQ14" i="15"/>
  <c r="AP14" i="15"/>
  <c r="AR14" i="15"/>
  <c r="AQ15" i="15"/>
  <c r="AP15" i="15"/>
  <c r="AR15" i="15"/>
  <c r="AQ16" i="15"/>
  <c r="AP16" i="15"/>
  <c r="AR16" i="15"/>
  <c r="AQ17" i="15"/>
  <c r="AP17" i="15"/>
  <c r="AR17" i="15"/>
  <c r="AP4" i="15"/>
  <c r="AR4" i="15"/>
  <c r="AP3" i="15"/>
  <c r="AR3" i="15"/>
  <c r="AL4" i="15"/>
  <c r="AL5" i="15"/>
  <c r="AK3" i="15"/>
  <c r="AM3" i="15"/>
  <c r="AK4" i="15"/>
  <c r="AM4" i="15"/>
  <c r="AK5" i="15"/>
  <c r="AM5" i="15"/>
  <c r="AL6" i="15"/>
  <c r="AK6" i="15"/>
  <c r="AM6" i="15"/>
  <c r="AL7" i="15"/>
  <c r="AK7" i="15"/>
  <c r="AM7" i="15"/>
  <c r="AL8" i="15"/>
  <c r="AK8" i="15"/>
  <c r="AM8" i="15"/>
  <c r="AL9" i="15"/>
  <c r="AK9" i="15"/>
  <c r="AM9" i="15"/>
  <c r="AL10" i="15"/>
  <c r="AK10" i="15"/>
  <c r="AM10" i="15"/>
  <c r="AL11" i="15"/>
  <c r="AK11" i="15"/>
  <c r="AM11" i="15"/>
  <c r="AL12" i="15"/>
  <c r="AK12" i="15"/>
  <c r="AM12" i="15"/>
  <c r="AL13" i="15"/>
  <c r="AK13" i="15"/>
  <c r="AM13" i="15"/>
  <c r="AL14" i="15"/>
  <c r="AK14" i="15"/>
  <c r="AM14" i="15"/>
  <c r="AL15" i="15"/>
  <c r="AK15" i="15"/>
  <c r="AM15" i="15"/>
  <c r="AL16" i="15"/>
  <c r="AK16" i="15"/>
  <c r="AM16" i="15"/>
  <c r="AL17" i="15"/>
  <c r="AK17" i="15"/>
  <c r="AM17" i="15"/>
  <c r="AJ3" i="15"/>
  <c r="MG4" i="1"/>
  <c r="AJ4" i="15"/>
  <c r="MG5" i="1"/>
  <c r="AJ5" i="15"/>
  <c r="MG6" i="1"/>
  <c r="AJ6" i="15"/>
  <c r="MG7" i="1"/>
  <c r="AJ7" i="15"/>
  <c r="MG8" i="1"/>
  <c r="AJ8" i="15"/>
  <c r="MG9" i="1"/>
  <c r="AJ9" i="15"/>
  <c r="MG10" i="1"/>
  <c r="AJ10" i="15"/>
  <c r="MG11" i="1"/>
  <c r="AJ11" i="15"/>
  <c r="MG12" i="1"/>
  <c r="AJ12" i="15"/>
  <c r="MG13" i="1"/>
  <c r="AJ13" i="15"/>
  <c r="MG14" i="1"/>
  <c r="AJ14" i="15"/>
  <c r="MG15" i="1"/>
  <c r="AJ15" i="15"/>
  <c r="MG16" i="1"/>
  <c r="AJ16" i="15"/>
  <c r="MG17" i="1"/>
  <c r="AJ17" i="15"/>
  <c r="AK2" i="15"/>
  <c r="AJ2" i="15"/>
  <c r="AJ1" i="15"/>
  <c r="DD1" i="15"/>
  <c r="DD3" i="15"/>
  <c r="DD4" i="15"/>
  <c r="DD5" i="15"/>
  <c r="DD6" i="15"/>
  <c r="DD7" i="15"/>
  <c r="DD8" i="15"/>
  <c r="DD9" i="15"/>
  <c r="DD10" i="15"/>
  <c r="PV11" i="1"/>
  <c r="DD11" i="15"/>
  <c r="PV12" i="1"/>
  <c r="DD12" i="15"/>
  <c r="PV13" i="1"/>
  <c r="DD13" i="15"/>
  <c r="PV14" i="1"/>
  <c r="DD14" i="15"/>
  <c r="PV15" i="1"/>
  <c r="DD15" i="15"/>
  <c r="PV16" i="1"/>
  <c r="DD16" i="15"/>
  <c r="PV17" i="1"/>
  <c r="DD17" i="15"/>
  <c r="DE2" i="15"/>
  <c r="DD2" i="15"/>
  <c r="CY3" i="15"/>
  <c r="OQ4" i="1"/>
  <c r="CY4" i="15"/>
  <c r="OQ5" i="1"/>
  <c r="CY5" i="15"/>
  <c r="OQ6" i="1"/>
  <c r="CY6" i="15"/>
  <c r="OQ7" i="1"/>
  <c r="CY7" i="15"/>
  <c r="OQ8" i="1"/>
  <c r="CY8" i="15"/>
  <c r="OQ9" i="1"/>
  <c r="CY9" i="15"/>
  <c r="OQ10" i="1"/>
  <c r="CY10" i="15"/>
  <c r="OQ11" i="1"/>
  <c r="CY11" i="15"/>
  <c r="OQ12" i="1"/>
  <c r="CY12" i="15"/>
  <c r="OQ13" i="1"/>
  <c r="CY13" i="15"/>
  <c r="OQ14" i="1"/>
  <c r="CY14" i="15"/>
  <c r="OQ15" i="1"/>
  <c r="CY15" i="15"/>
  <c r="OQ16" i="1"/>
  <c r="CY16" i="15"/>
  <c r="OQ17" i="1"/>
  <c r="CY17" i="15"/>
  <c r="CZ2" i="15"/>
  <c r="CY2" i="15"/>
  <c r="CY1" i="15"/>
  <c r="CT3" i="15"/>
  <c r="OB4" i="1"/>
  <c r="CT4" i="15"/>
  <c r="OB5" i="1"/>
  <c r="CT5" i="15"/>
  <c r="OB6" i="1"/>
  <c r="CT6" i="15"/>
  <c r="OB7" i="1"/>
  <c r="CT7" i="15"/>
  <c r="OB8" i="1"/>
  <c r="CT8" i="15"/>
  <c r="OB9" i="1"/>
  <c r="CT9" i="15"/>
  <c r="OB10" i="1"/>
  <c r="CT10" i="15"/>
  <c r="OB11" i="1"/>
  <c r="CT11" i="15"/>
  <c r="OB12" i="1"/>
  <c r="CT12" i="15"/>
  <c r="OB13" i="1"/>
  <c r="CT13" i="15"/>
  <c r="OB14" i="1"/>
  <c r="CT14" i="15"/>
  <c r="OB15" i="1"/>
  <c r="CT15" i="15"/>
  <c r="OB16" i="1"/>
  <c r="CT16" i="15"/>
  <c r="OB17" i="1"/>
  <c r="CT17" i="15"/>
  <c r="CU2" i="15"/>
  <c r="CT2" i="15"/>
  <c r="CT1" i="15"/>
  <c r="CO3" i="15"/>
  <c r="NK4" i="1"/>
  <c r="CO4" i="15"/>
  <c r="NK5" i="1"/>
  <c r="CO5" i="15"/>
  <c r="NK6" i="1"/>
  <c r="CO6" i="15"/>
  <c r="NK7" i="1"/>
  <c r="CO7" i="15"/>
  <c r="NK8" i="1"/>
  <c r="CO8" i="15"/>
  <c r="NK9" i="1"/>
  <c r="CO9" i="15"/>
  <c r="NK10" i="1"/>
  <c r="CO10" i="15"/>
  <c r="NK11" i="1"/>
  <c r="CO11" i="15"/>
  <c r="NK12" i="1"/>
  <c r="CO12" i="15"/>
  <c r="NK13" i="1"/>
  <c r="CO13" i="15"/>
  <c r="NK14" i="1"/>
  <c r="CO14" i="15"/>
  <c r="NK15" i="1"/>
  <c r="CO15" i="15"/>
  <c r="NK16" i="1"/>
  <c r="CO16" i="15"/>
  <c r="NK17" i="1"/>
  <c r="CO17" i="15"/>
  <c r="CP2" i="15"/>
  <c r="CO2" i="15"/>
  <c r="CO1" i="15"/>
  <c r="CJ3" i="15"/>
  <c r="MV4" i="1"/>
  <c r="CJ4" i="15"/>
  <c r="MV5" i="1"/>
  <c r="CJ5" i="15"/>
  <c r="MV6" i="1"/>
  <c r="CJ6" i="15"/>
  <c r="MV7" i="1"/>
  <c r="CJ7" i="15"/>
  <c r="MV8" i="1"/>
  <c r="CJ8" i="15"/>
  <c r="MV9" i="1"/>
  <c r="CJ9" i="15"/>
  <c r="MV10" i="1"/>
  <c r="CJ10" i="15"/>
  <c r="MV11" i="1"/>
  <c r="CJ11" i="15"/>
  <c r="MV12" i="1"/>
  <c r="CJ12" i="15"/>
  <c r="MV13" i="1"/>
  <c r="CJ13" i="15"/>
  <c r="MV14" i="1"/>
  <c r="CJ14" i="15"/>
  <c r="MV15" i="1"/>
  <c r="CJ15" i="15"/>
  <c r="MV16" i="1"/>
  <c r="CJ16" i="15"/>
  <c r="MV17" i="1"/>
  <c r="CJ17" i="15"/>
  <c r="CK2" i="15"/>
  <c r="CJ2" i="15"/>
  <c r="CJ1" i="15"/>
  <c r="CE3" i="15"/>
  <c r="JJ4" i="1"/>
  <c r="CE4" i="15"/>
  <c r="JJ5" i="1"/>
  <c r="CE5" i="15"/>
  <c r="JJ6" i="1"/>
  <c r="CE6" i="15"/>
  <c r="JJ7" i="1"/>
  <c r="CE7" i="15"/>
  <c r="JJ8" i="1"/>
  <c r="CE8" i="15"/>
  <c r="JJ9" i="1"/>
  <c r="CE9" i="15"/>
  <c r="JJ10" i="1"/>
  <c r="CE10" i="15"/>
  <c r="JJ11" i="1"/>
  <c r="CE11" i="15"/>
  <c r="JJ12" i="1"/>
  <c r="CE12" i="15"/>
  <c r="JJ13" i="1"/>
  <c r="CE13" i="15"/>
  <c r="JJ14" i="1"/>
  <c r="CE14" i="15"/>
  <c r="JJ15" i="1"/>
  <c r="CE15" i="15"/>
  <c r="JJ16" i="1"/>
  <c r="CE16" i="15"/>
  <c r="JJ17" i="1"/>
  <c r="CE17" i="15"/>
  <c r="CF2" i="15"/>
  <c r="CE2" i="15"/>
  <c r="CE1" i="15"/>
  <c r="BZ3" i="15"/>
  <c r="IK4" i="1"/>
  <c r="BZ4" i="15"/>
  <c r="IK5" i="1"/>
  <c r="BZ5" i="15"/>
  <c r="IK6" i="1"/>
  <c r="BZ6" i="15"/>
  <c r="IK7" i="1"/>
  <c r="BZ7" i="15"/>
  <c r="IK8" i="1"/>
  <c r="BZ8" i="15"/>
  <c r="IK9" i="1"/>
  <c r="BZ9" i="15"/>
  <c r="IK10" i="1"/>
  <c r="BZ10" i="15"/>
  <c r="IK11" i="1"/>
  <c r="BZ11" i="15"/>
  <c r="IK12" i="1"/>
  <c r="BZ12" i="15"/>
  <c r="IK13" i="1"/>
  <c r="BZ13" i="15"/>
  <c r="IK14" i="1"/>
  <c r="BZ14" i="15"/>
  <c r="IK15" i="1"/>
  <c r="BZ15" i="15"/>
  <c r="IK16" i="1"/>
  <c r="BZ16" i="15"/>
  <c r="IK17" i="1"/>
  <c r="BZ17" i="15"/>
  <c r="CA2" i="15"/>
  <c r="BZ2" i="15"/>
  <c r="BZ1" i="15"/>
  <c r="BS3" i="15"/>
  <c r="HU4" i="1"/>
  <c r="BS4" i="15"/>
  <c r="HU5" i="1"/>
  <c r="BS5" i="15"/>
  <c r="HU6" i="1"/>
  <c r="BS6" i="15"/>
  <c r="HU7" i="1"/>
  <c r="BS7" i="15"/>
  <c r="HU8" i="1"/>
  <c r="BS8" i="15"/>
  <c r="HU9" i="1"/>
  <c r="BS9" i="15"/>
  <c r="HU10" i="1"/>
  <c r="BS10" i="15"/>
  <c r="HU11" i="1"/>
  <c r="BS11" i="15"/>
  <c r="HU12" i="1"/>
  <c r="BS12" i="15"/>
  <c r="HU13" i="1"/>
  <c r="BS13" i="15"/>
  <c r="HU14" i="1"/>
  <c r="BS14" i="15"/>
  <c r="HU15" i="1"/>
  <c r="BS15" i="15"/>
  <c r="HU16" i="1"/>
  <c r="BS16" i="15"/>
  <c r="HU17" i="1"/>
  <c r="BS17" i="15"/>
  <c r="BT2" i="15"/>
  <c r="BS2" i="15"/>
  <c r="BS1" i="15"/>
  <c r="BN3" i="15"/>
  <c r="HA4" i="1"/>
  <c r="BN4" i="15"/>
  <c r="HA5" i="1"/>
  <c r="BN5" i="15"/>
  <c r="HA6" i="1"/>
  <c r="BN6" i="15"/>
  <c r="HA7" i="1"/>
  <c r="BN7" i="15"/>
  <c r="HA8" i="1"/>
  <c r="BN8" i="15"/>
  <c r="HA9" i="1"/>
  <c r="BN9" i="15"/>
  <c r="HA10" i="1"/>
  <c r="BN10" i="15"/>
  <c r="HA11" i="1"/>
  <c r="BN11" i="15"/>
  <c r="HA12" i="1"/>
  <c r="BN12" i="15"/>
  <c r="HA13" i="1"/>
  <c r="BN13" i="15"/>
  <c r="HA14" i="1"/>
  <c r="BN14" i="15"/>
  <c r="HA15" i="1"/>
  <c r="BN15" i="15"/>
  <c r="HA16" i="1"/>
  <c r="BN16" i="15"/>
  <c r="HA17" i="1"/>
  <c r="BN17" i="15"/>
  <c r="BO2" i="15"/>
  <c r="BN2" i="15"/>
  <c r="BN1" i="15"/>
  <c r="BI3" i="15"/>
  <c r="GJ4" i="1"/>
  <c r="BI4" i="15"/>
  <c r="GJ5" i="1"/>
  <c r="BI5" i="15"/>
  <c r="GJ6" i="1"/>
  <c r="BI6" i="15"/>
  <c r="GJ7" i="1"/>
  <c r="BI7" i="15"/>
  <c r="GJ8" i="1"/>
  <c r="BI8" i="15"/>
  <c r="GJ9" i="1"/>
  <c r="BI9" i="15"/>
  <c r="GJ10" i="1"/>
  <c r="BI10" i="15"/>
  <c r="GJ11" i="1"/>
  <c r="BI11" i="15"/>
  <c r="GJ12" i="1"/>
  <c r="BI12" i="15"/>
  <c r="GJ13" i="1"/>
  <c r="BI13" i="15"/>
  <c r="GJ14" i="1"/>
  <c r="BI14" i="15"/>
  <c r="GJ15" i="1"/>
  <c r="BI15" i="15"/>
  <c r="GJ16" i="1"/>
  <c r="BI16" i="15"/>
  <c r="GJ17" i="1"/>
  <c r="BI17" i="15"/>
  <c r="BJ2" i="15"/>
  <c r="BI2" i="15"/>
  <c r="BI1" i="15"/>
  <c r="FP4" i="1"/>
  <c r="FP5" i="1"/>
  <c r="FP6" i="1"/>
  <c r="FP7" i="1"/>
  <c r="FP8" i="1"/>
  <c r="FP9" i="1"/>
  <c r="BD9" i="15"/>
  <c r="FP10" i="1"/>
  <c r="BD10" i="15"/>
  <c r="FP11" i="1"/>
  <c r="BD11" i="15"/>
  <c r="FP12" i="1"/>
  <c r="BD12" i="15"/>
  <c r="FP13" i="1"/>
  <c r="BD13" i="15"/>
  <c r="FP14" i="1"/>
  <c r="BD14" i="15"/>
  <c r="FP15" i="1"/>
  <c r="BD15" i="15"/>
  <c r="FP16" i="1"/>
  <c r="BD16" i="15"/>
  <c r="FP17" i="1"/>
  <c r="BD17" i="15"/>
  <c r="BD3" i="15"/>
  <c r="BD4" i="15"/>
  <c r="BD5" i="15"/>
  <c r="BD6" i="15"/>
  <c r="BD7" i="15"/>
  <c r="BD8" i="15"/>
  <c r="BE2" i="15"/>
  <c r="BD2" i="15"/>
  <c r="BD1" i="15"/>
  <c r="AZ2" i="15"/>
  <c r="AY2" i="15"/>
  <c r="AY3" i="15"/>
  <c r="EY4" i="1"/>
  <c r="AY4" i="15"/>
  <c r="EY5" i="1"/>
  <c r="AY5" i="15"/>
  <c r="EY6" i="1"/>
  <c r="AY6" i="15"/>
  <c r="EY7" i="1"/>
  <c r="AY7" i="15"/>
  <c r="EY8" i="1"/>
  <c r="AY8" i="15"/>
  <c r="EY9" i="1"/>
  <c r="AY9" i="15"/>
  <c r="EY10" i="1"/>
  <c r="AY10" i="15"/>
  <c r="EY11" i="1"/>
  <c r="AY11" i="15"/>
  <c r="EY12" i="1"/>
  <c r="AY12" i="15"/>
  <c r="EY13" i="1"/>
  <c r="AY13" i="15"/>
  <c r="EY14" i="1"/>
  <c r="AY14" i="15"/>
  <c r="EY15" i="1"/>
  <c r="AY15" i="15"/>
  <c r="EY16" i="1"/>
  <c r="AY16" i="15"/>
  <c r="EY17" i="1"/>
  <c r="AY17" i="15"/>
  <c r="AY1" i="15"/>
  <c r="AT3" i="15"/>
  <c r="EE4" i="1"/>
  <c r="AT4" i="15"/>
  <c r="EE5" i="1"/>
  <c r="AT5" i="15"/>
  <c r="EE6" i="1"/>
  <c r="AT6" i="15"/>
  <c r="EE7" i="1"/>
  <c r="AT7" i="15"/>
  <c r="EE8" i="1"/>
  <c r="AT8" i="15"/>
  <c r="EE9" i="1"/>
  <c r="AT9" i="15"/>
  <c r="EE10" i="1"/>
  <c r="AT10" i="15"/>
  <c r="EE11" i="1"/>
  <c r="AT11" i="15"/>
  <c r="EE12" i="1"/>
  <c r="AT12" i="15"/>
  <c r="EE13" i="1"/>
  <c r="AT13" i="15"/>
  <c r="EE14" i="1"/>
  <c r="AT14" i="15"/>
  <c r="EE15" i="1"/>
  <c r="AT15" i="15"/>
  <c r="EE16" i="1"/>
  <c r="AT16" i="15"/>
  <c r="EE17" i="1"/>
  <c r="AT17" i="15"/>
  <c r="AU2" i="15"/>
  <c r="AT2" i="15"/>
  <c r="AT1" i="15"/>
  <c r="AP2" i="15"/>
  <c r="AO2" i="15"/>
  <c r="AO3" i="15"/>
  <c r="DN4" i="1"/>
  <c r="AO4" i="15"/>
  <c r="DN5" i="1"/>
  <c r="AO5" i="15"/>
  <c r="DN6" i="1"/>
  <c r="AO6" i="15"/>
  <c r="DN7" i="1"/>
  <c r="AO7" i="15"/>
  <c r="DN8" i="1"/>
  <c r="AO8" i="15"/>
  <c r="DN9" i="1"/>
  <c r="AO9" i="15"/>
  <c r="DN10" i="1"/>
  <c r="AO10" i="15"/>
  <c r="DN11" i="1"/>
  <c r="AO11" i="15"/>
  <c r="DN12" i="1"/>
  <c r="AO12" i="15"/>
  <c r="DN13" i="1"/>
  <c r="AO13" i="15"/>
  <c r="DN14" i="1"/>
  <c r="AO14" i="15"/>
  <c r="DN15" i="1"/>
  <c r="AO15" i="15"/>
  <c r="DN16" i="1"/>
  <c r="AO16" i="15"/>
  <c r="DN17" i="1"/>
  <c r="AO17" i="15"/>
  <c r="AO1" i="15"/>
  <c r="B5" i="15"/>
  <c r="C4" i="15"/>
  <c r="C5" i="15"/>
  <c r="D5" i="15"/>
  <c r="B6" i="15"/>
  <c r="C6" i="15"/>
  <c r="D6" i="15"/>
  <c r="B7" i="15"/>
  <c r="C7" i="15"/>
  <c r="D7" i="15"/>
  <c r="B8" i="15"/>
  <c r="C8" i="15"/>
  <c r="D8" i="15"/>
  <c r="B9" i="15"/>
  <c r="C9" i="15"/>
  <c r="D9" i="15"/>
  <c r="B10" i="15"/>
  <c r="C10" i="15"/>
  <c r="D10" i="15"/>
  <c r="B11" i="15"/>
  <c r="C11" i="15"/>
  <c r="D11" i="15"/>
  <c r="B12" i="15"/>
  <c r="C12" i="15"/>
  <c r="D12" i="15"/>
  <c r="B13" i="15"/>
  <c r="C13" i="15"/>
  <c r="D13" i="15"/>
  <c r="B14" i="15"/>
  <c r="C14" i="15"/>
  <c r="D14" i="15"/>
  <c r="B15" i="15"/>
  <c r="C15" i="15"/>
  <c r="D15" i="15"/>
  <c r="B16" i="15"/>
  <c r="C16" i="15"/>
  <c r="D16" i="15"/>
  <c r="B17" i="15"/>
  <c r="C17" i="15"/>
  <c r="D17" i="15"/>
  <c r="B4" i="15"/>
  <c r="D4" i="15"/>
  <c r="B3" i="15"/>
  <c r="D3" i="15"/>
  <c r="B2" i="15"/>
  <c r="AV4" i="9"/>
  <c r="AV5" i="9"/>
  <c r="AW4" i="9"/>
  <c r="AW5" i="9"/>
  <c r="AX4" i="9"/>
  <c r="AX5" i="9"/>
  <c r="AY4" i="9"/>
  <c r="AY5" i="9"/>
  <c r="AZ4" i="9"/>
  <c r="AZ5" i="9"/>
  <c r="AV6" i="9"/>
  <c r="AW6" i="9"/>
  <c r="AX6" i="9"/>
  <c r="AY6" i="9"/>
  <c r="AZ6" i="9"/>
  <c r="BA6" i="9"/>
  <c r="BB6" i="9"/>
  <c r="AV7" i="9"/>
  <c r="AW7" i="9"/>
  <c r="AX7" i="9"/>
  <c r="AY7" i="9"/>
  <c r="AZ7" i="9"/>
  <c r="BA7" i="9"/>
  <c r="BB7" i="9"/>
  <c r="AV8" i="9"/>
  <c r="AW8" i="9"/>
  <c r="AX8" i="9"/>
  <c r="AY8" i="9"/>
  <c r="AZ8" i="9"/>
  <c r="BA8" i="9"/>
  <c r="BB8" i="9"/>
  <c r="AV9" i="9"/>
  <c r="AW9" i="9"/>
  <c r="AX9" i="9"/>
  <c r="AY9" i="9"/>
  <c r="AZ9" i="9"/>
  <c r="BA9" i="9"/>
  <c r="BB9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E4" i="9"/>
  <c r="AE5" i="9"/>
  <c r="AG4" i="9"/>
  <c r="AG5" i="9"/>
  <c r="AH4" i="9"/>
  <c r="AH5" i="9"/>
  <c r="AI4" i="9"/>
  <c r="AI5" i="9"/>
  <c r="AJ4" i="9"/>
  <c r="AJ5" i="9"/>
  <c r="AE6" i="9"/>
  <c r="AG6" i="9"/>
  <c r="AH6" i="9"/>
  <c r="AI6" i="9"/>
  <c r="AJ6" i="9"/>
  <c r="AE7" i="9"/>
  <c r="AG7" i="9"/>
  <c r="AH7" i="9"/>
  <c r="AI7" i="9"/>
  <c r="AJ7" i="9"/>
  <c r="AE8" i="9"/>
  <c r="AG8" i="9"/>
  <c r="AH8" i="9"/>
  <c r="AI8" i="9"/>
  <c r="AJ8" i="9"/>
  <c r="AE9" i="9"/>
  <c r="AG9" i="9"/>
  <c r="AH9" i="9"/>
  <c r="AI9" i="9"/>
  <c r="AJ9" i="9"/>
  <c r="AE10" i="9"/>
  <c r="AG10" i="9"/>
  <c r="AH10" i="9"/>
  <c r="AI10" i="9"/>
  <c r="AJ10" i="9"/>
  <c r="AE11" i="9"/>
  <c r="AG11" i="9"/>
  <c r="AH11" i="9"/>
  <c r="AI11" i="9"/>
  <c r="AJ11" i="9"/>
  <c r="AE12" i="9"/>
  <c r="AG12" i="9"/>
  <c r="AH12" i="9"/>
  <c r="AI12" i="9"/>
  <c r="AJ12" i="9"/>
  <c r="AE13" i="9"/>
  <c r="AG13" i="9"/>
  <c r="AH13" i="9"/>
  <c r="AI13" i="9"/>
  <c r="AJ13" i="9"/>
  <c r="AE14" i="9"/>
  <c r="AG14" i="9"/>
  <c r="AH14" i="9"/>
  <c r="AI14" i="9"/>
  <c r="AJ14" i="9"/>
  <c r="AE15" i="9"/>
  <c r="AG15" i="9"/>
  <c r="AH15" i="9"/>
  <c r="AI15" i="9"/>
  <c r="AJ15" i="9"/>
  <c r="AE16" i="9"/>
  <c r="AG16" i="9"/>
  <c r="AH16" i="9"/>
  <c r="AI16" i="9"/>
  <c r="AJ16" i="9"/>
  <c r="AE17" i="9"/>
  <c r="AG17" i="9"/>
  <c r="AH17" i="9"/>
  <c r="AI17" i="9"/>
  <c r="AJ17" i="9"/>
  <c r="AE18" i="9"/>
  <c r="AG18" i="9"/>
  <c r="AH18" i="9"/>
  <c r="AI18" i="9"/>
  <c r="AJ18" i="9"/>
  <c r="AE19" i="9"/>
  <c r="AG19" i="9"/>
  <c r="AH19" i="9"/>
  <c r="AI19" i="9"/>
  <c r="AJ19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O4" i="9"/>
  <c r="P4" i="9"/>
  <c r="O5" i="9"/>
  <c r="P5" i="9"/>
  <c r="O6" i="9"/>
  <c r="P6" i="9"/>
  <c r="O7" i="9"/>
  <c r="P7" i="9"/>
  <c r="O8" i="9"/>
  <c r="P8" i="9"/>
  <c r="O9" i="9"/>
  <c r="P9" i="9"/>
  <c r="O10" i="9"/>
  <c r="P10" i="9"/>
  <c r="O11" i="9"/>
  <c r="P11" i="9"/>
  <c r="O12" i="9"/>
  <c r="P12" i="9"/>
  <c r="O13" i="9"/>
  <c r="P13" i="9"/>
  <c r="O14" i="9"/>
  <c r="P14" i="9"/>
  <c r="O15" i="9"/>
  <c r="P15" i="9"/>
  <c r="O16" i="9"/>
  <c r="P16" i="9"/>
  <c r="O17" i="9"/>
  <c r="P17" i="9"/>
  <c r="O18" i="9"/>
  <c r="P18" i="9"/>
  <c r="O19" i="9"/>
  <c r="P19" i="9"/>
  <c r="O20" i="9"/>
  <c r="P20" i="9"/>
  <c r="O21" i="9"/>
  <c r="P21" i="9"/>
  <c r="O22" i="9"/>
  <c r="P22" i="9"/>
  <c r="O23" i="9"/>
  <c r="P23" i="9"/>
  <c r="O24" i="9"/>
  <c r="P24" i="9"/>
  <c r="O25" i="9"/>
  <c r="P25" i="9"/>
  <c r="O26" i="9"/>
  <c r="P26" i="9"/>
  <c r="O27" i="9"/>
  <c r="P27" i="9"/>
  <c r="O28" i="9"/>
  <c r="P28" i="9"/>
  <c r="O29" i="9"/>
  <c r="P29" i="9"/>
  <c r="AA5" i="15"/>
  <c r="AA4" i="15"/>
  <c r="AA3" i="15"/>
  <c r="AF3" i="15"/>
  <c r="AF4" i="15"/>
  <c r="AF5" i="15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H3" i="15"/>
  <c r="AH4" i="15"/>
  <c r="AH5" i="15"/>
  <c r="AA6" i="15"/>
  <c r="AH6" i="15"/>
  <c r="AA7" i="15"/>
  <c r="AH7" i="15"/>
  <c r="AA8" i="15"/>
  <c r="AH8" i="15"/>
  <c r="AA9" i="15"/>
  <c r="AH9" i="15"/>
  <c r="AA10" i="15"/>
  <c r="AH10" i="15"/>
  <c r="AA11" i="15"/>
  <c r="AH11" i="15"/>
  <c r="AA12" i="15"/>
  <c r="AH12" i="15"/>
  <c r="AA13" i="15"/>
  <c r="AH13" i="15"/>
  <c r="AA14" i="15"/>
  <c r="AH14" i="15"/>
  <c r="AA15" i="15"/>
  <c r="AH15" i="15"/>
  <c r="AA16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AH16" i="15"/>
  <c r="AA17" i="15"/>
  <c r="M17" i="15"/>
  <c r="N17" i="15"/>
  <c r="AH17" i="15"/>
  <c r="AF6" i="15"/>
  <c r="AF7" i="15"/>
  <c r="AF8" i="15"/>
  <c r="AF9" i="15"/>
  <c r="AF10" i="15"/>
  <c r="AF11" i="15"/>
  <c r="AF12" i="15"/>
  <c r="AF13" i="15"/>
  <c r="AF14" i="15"/>
  <c r="AF15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F16" i="15"/>
  <c r="AE17" i="15"/>
  <c r="AF17" i="15"/>
  <c r="BH3" i="1"/>
  <c r="AC3" i="15"/>
  <c r="BH4" i="1"/>
  <c r="AC4" i="15"/>
  <c r="BH5" i="1"/>
  <c r="AC5" i="15"/>
  <c r="BH6" i="1"/>
  <c r="AC6" i="15"/>
  <c r="BH7" i="1"/>
  <c r="AC7" i="15"/>
  <c r="BH8" i="1"/>
  <c r="AC8" i="15"/>
  <c r="BH9" i="1"/>
  <c r="AC9" i="15"/>
  <c r="BH10" i="1"/>
  <c r="AC10" i="15"/>
  <c r="BH11" i="1"/>
  <c r="AC11" i="15"/>
  <c r="BH12" i="1"/>
  <c r="AC12" i="15"/>
  <c r="BH13" i="1"/>
  <c r="AC13" i="15"/>
  <c r="BH14" i="1"/>
  <c r="AC14" i="15"/>
  <c r="BH15" i="1"/>
  <c r="AC15" i="15"/>
  <c r="BH16" i="1"/>
  <c r="AC16" i="15"/>
  <c r="BH17" i="1"/>
  <c r="AC17" i="15"/>
  <c r="AC2" i="15"/>
  <c r="Z3" i="15"/>
  <c r="LR4" i="1"/>
  <c r="Z4" i="15"/>
  <c r="AA2" i="15"/>
  <c r="Z2" i="15"/>
  <c r="LR5" i="1"/>
  <c r="Z5" i="15"/>
  <c r="LR6" i="1"/>
  <c r="Z6" i="15"/>
  <c r="LR7" i="1"/>
  <c r="Z7" i="15"/>
  <c r="LR8" i="1"/>
  <c r="Z8" i="15"/>
  <c r="LR9" i="1"/>
  <c r="Z9" i="15"/>
  <c r="LR10" i="1"/>
  <c r="Z10" i="15"/>
  <c r="LR11" i="1"/>
  <c r="Z11" i="15"/>
  <c r="LR12" i="1"/>
  <c r="Z12" i="15"/>
  <c r="LR13" i="1"/>
  <c r="Z13" i="15"/>
  <c r="LR14" i="1"/>
  <c r="Z14" i="15"/>
  <c r="LR15" i="1"/>
  <c r="Z15" i="15"/>
  <c r="LR16" i="1"/>
  <c r="Z16" i="15"/>
  <c r="LR17" i="1"/>
  <c r="Z17" i="15"/>
  <c r="Z1" i="15"/>
  <c r="AB4" i="15"/>
  <c r="AB5" i="15"/>
  <c r="AD4" i="15"/>
  <c r="AD5" i="15"/>
  <c r="AB6" i="15"/>
  <c r="AD6" i="15"/>
  <c r="AB7" i="15"/>
  <c r="AD7" i="15"/>
  <c r="AB8" i="15"/>
  <c r="AD8" i="15"/>
  <c r="AB9" i="15"/>
  <c r="AD9" i="15"/>
  <c r="AB10" i="15"/>
  <c r="AD10" i="15"/>
  <c r="AB11" i="15"/>
  <c r="AD11" i="15"/>
  <c r="AB12" i="15"/>
  <c r="AD12" i="15"/>
  <c r="AB13" i="15"/>
  <c r="AD13" i="15"/>
  <c r="AB14" i="15"/>
  <c r="AD14" i="15"/>
  <c r="AB15" i="15"/>
  <c r="AD15" i="15"/>
  <c r="AB16" i="15"/>
  <c r="AD16" i="15"/>
  <c r="AB17" i="15"/>
  <c r="AD17" i="15"/>
  <c r="Q5" i="15"/>
  <c r="Q4" i="15"/>
  <c r="Q3" i="15"/>
  <c r="X3" i="15"/>
  <c r="X4" i="15"/>
  <c r="X5" i="15"/>
  <c r="Q6" i="15"/>
  <c r="X6" i="15"/>
  <c r="Q7" i="15"/>
  <c r="X7" i="15"/>
  <c r="Q8" i="15"/>
  <c r="X8" i="15"/>
  <c r="Q9" i="15"/>
  <c r="X9" i="15"/>
  <c r="Q10" i="15"/>
  <c r="W4" i="15"/>
  <c r="W5" i="15"/>
  <c r="W6" i="15"/>
  <c r="W7" i="15"/>
  <c r="W8" i="15"/>
  <c r="W9" i="15"/>
  <c r="W10" i="15"/>
  <c r="X10" i="15"/>
  <c r="Q11" i="15"/>
  <c r="W11" i="15"/>
  <c r="X11" i="15"/>
  <c r="Q12" i="15"/>
  <c r="W12" i="15"/>
  <c r="X12" i="15"/>
  <c r="Q13" i="15"/>
  <c r="W13" i="15"/>
  <c r="X13" i="15"/>
  <c r="Q14" i="15"/>
  <c r="W14" i="15"/>
  <c r="X14" i="15"/>
  <c r="Q15" i="15"/>
  <c r="W15" i="15"/>
  <c r="X15" i="15"/>
  <c r="Q16" i="15"/>
  <c r="W16" i="15"/>
  <c r="X16" i="15"/>
  <c r="Q17" i="15"/>
  <c r="W17" i="15"/>
  <c r="X17" i="15"/>
  <c r="V3" i="15"/>
  <c r="V4" i="15"/>
  <c r="V5" i="15"/>
  <c r="V6" i="15"/>
  <c r="V7" i="15"/>
  <c r="V8" i="15"/>
  <c r="V9" i="15"/>
  <c r="U4" i="15"/>
  <c r="U5" i="15"/>
  <c r="U6" i="15"/>
  <c r="U7" i="15"/>
  <c r="U8" i="15"/>
  <c r="U9" i="15"/>
  <c r="U10" i="15"/>
  <c r="V10" i="15"/>
  <c r="U11" i="15"/>
  <c r="V11" i="15"/>
  <c r="U12" i="15"/>
  <c r="V12" i="15"/>
  <c r="U13" i="15"/>
  <c r="V13" i="15"/>
  <c r="U14" i="15"/>
  <c r="V14" i="15"/>
  <c r="U15" i="15"/>
  <c r="V15" i="15"/>
  <c r="U16" i="15"/>
  <c r="V16" i="15"/>
  <c r="U17" i="15"/>
  <c r="V17" i="15"/>
  <c r="S4" i="15"/>
  <c r="S5" i="15"/>
  <c r="T4" i="15"/>
  <c r="T5" i="15"/>
  <c r="S6" i="15"/>
  <c r="T6" i="15"/>
  <c r="S7" i="15"/>
  <c r="T7" i="15"/>
  <c r="S8" i="15"/>
  <c r="T8" i="15"/>
  <c r="S9" i="15"/>
  <c r="T9" i="15"/>
  <c r="S10" i="15"/>
  <c r="T10" i="15"/>
  <c r="S11" i="15"/>
  <c r="T11" i="15"/>
  <c r="S12" i="15"/>
  <c r="T12" i="15"/>
  <c r="S13" i="15"/>
  <c r="T13" i="15"/>
  <c r="S14" i="15"/>
  <c r="T14" i="15"/>
  <c r="S15" i="15"/>
  <c r="T15" i="15"/>
  <c r="S16" i="15"/>
  <c r="T16" i="15"/>
  <c r="S17" i="15"/>
  <c r="T17" i="15"/>
  <c r="BF3" i="1"/>
  <c r="R3" i="15"/>
  <c r="BF4" i="1"/>
  <c r="R4" i="15"/>
  <c r="BF5" i="1"/>
  <c r="R5" i="15"/>
  <c r="BF6" i="1"/>
  <c r="R6" i="15"/>
  <c r="BF7" i="1"/>
  <c r="R7" i="15"/>
  <c r="BF8" i="1"/>
  <c r="R8" i="15"/>
  <c r="BF9" i="1"/>
  <c r="R9" i="15"/>
  <c r="BF10" i="1"/>
  <c r="R10" i="15"/>
  <c r="BF11" i="1"/>
  <c r="R11" i="15"/>
  <c r="BF12" i="1"/>
  <c r="R12" i="15"/>
  <c r="BF13" i="1"/>
  <c r="R13" i="15"/>
  <c r="BF14" i="1"/>
  <c r="R14" i="15"/>
  <c r="BF15" i="1"/>
  <c r="R15" i="15"/>
  <c r="BF16" i="1"/>
  <c r="R16" i="15"/>
  <c r="BF17" i="1"/>
  <c r="R17" i="15"/>
  <c r="R2" i="15"/>
  <c r="Q2" i="15"/>
  <c r="P2" i="15"/>
  <c r="P3" i="15"/>
  <c r="LC4" i="1"/>
  <c r="P4" i="15"/>
  <c r="LC5" i="1"/>
  <c r="P5" i="15"/>
  <c r="LC6" i="1"/>
  <c r="P6" i="15"/>
  <c r="LC7" i="1"/>
  <c r="P7" i="15"/>
  <c r="LC8" i="1"/>
  <c r="P8" i="15"/>
  <c r="LC9" i="1"/>
  <c r="P9" i="15"/>
  <c r="LC10" i="1"/>
  <c r="P10" i="15"/>
  <c r="LC11" i="1"/>
  <c r="P11" i="15"/>
  <c r="LC12" i="1"/>
  <c r="P12" i="15"/>
  <c r="LC13" i="1"/>
  <c r="P13" i="15"/>
  <c r="LC14" i="1"/>
  <c r="P14" i="15"/>
  <c r="LC15" i="1"/>
  <c r="P15" i="15"/>
  <c r="LC16" i="1"/>
  <c r="P16" i="15"/>
  <c r="LC17" i="1"/>
  <c r="P17" i="15"/>
  <c r="P1" i="15"/>
  <c r="BD3" i="1"/>
  <c r="H3" i="15"/>
  <c r="BD4" i="1"/>
  <c r="H4" i="15"/>
  <c r="BD5" i="1"/>
  <c r="H5" i="15"/>
  <c r="BD6" i="1"/>
  <c r="H6" i="15"/>
  <c r="BD7" i="1"/>
  <c r="H7" i="15"/>
  <c r="BD8" i="1"/>
  <c r="H8" i="15"/>
  <c r="BD9" i="1"/>
  <c r="H9" i="15"/>
  <c r="BD10" i="1"/>
  <c r="H10" i="15"/>
  <c r="BD11" i="1"/>
  <c r="H11" i="15"/>
  <c r="BD12" i="1"/>
  <c r="H12" i="15"/>
  <c r="BD13" i="1"/>
  <c r="H13" i="15"/>
  <c r="BD14" i="1"/>
  <c r="H14" i="15"/>
  <c r="BD15" i="1"/>
  <c r="H15" i="15"/>
  <c r="BD16" i="1"/>
  <c r="H16" i="15"/>
  <c r="BD17" i="1"/>
  <c r="H17" i="15"/>
  <c r="H2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F3" i="15"/>
  <c r="G3" i="15"/>
  <c r="KN4" i="1"/>
  <c r="F4" i="15"/>
  <c r="KN5" i="1"/>
  <c r="F5" i="15"/>
  <c r="KN6" i="1"/>
  <c r="F6" i="15"/>
  <c r="KN7" i="1"/>
  <c r="F7" i="15"/>
  <c r="KN8" i="1"/>
  <c r="F8" i="15"/>
  <c r="KN9" i="1"/>
  <c r="F9" i="15"/>
  <c r="KN10" i="1"/>
  <c r="F10" i="15"/>
  <c r="KN11" i="1"/>
  <c r="F11" i="15"/>
  <c r="KN12" i="1"/>
  <c r="F12" i="15"/>
  <c r="KN13" i="1"/>
  <c r="F13" i="15"/>
  <c r="KN14" i="1"/>
  <c r="F14" i="15"/>
  <c r="KN15" i="1"/>
  <c r="F15" i="15"/>
  <c r="KN16" i="1"/>
  <c r="F16" i="15"/>
  <c r="KN17" i="1"/>
  <c r="F17" i="15"/>
  <c r="G2" i="15"/>
  <c r="A2" i="15"/>
  <c r="A3" i="15"/>
  <c r="A4" i="1"/>
  <c r="A4" i="15"/>
  <c r="A5" i="1"/>
  <c r="A5" i="15"/>
  <c r="A6" i="1"/>
  <c r="A6" i="15"/>
  <c r="A7" i="1"/>
  <c r="A7" i="15"/>
  <c r="A8" i="1"/>
  <c r="A8" i="15"/>
  <c r="A9" i="1"/>
  <c r="A9" i="15"/>
  <c r="A10" i="1"/>
  <c r="A10" i="15"/>
  <c r="A11" i="1"/>
  <c r="A11" i="15"/>
  <c r="A12" i="1"/>
  <c r="A12" i="15"/>
  <c r="A13" i="1"/>
  <c r="A13" i="15"/>
  <c r="A14" i="1"/>
  <c r="A14" i="15"/>
  <c r="A15" i="1"/>
  <c r="A15" i="15"/>
  <c r="A16" i="1"/>
  <c r="A16" i="15"/>
  <c r="A17" i="1"/>
  <c r="A17" i="15"/>
  <c r="A1" i="15"/>
  <c r="F2" i="15"/>
  <c r="F1" i="15"/>
  <c r="QH12" i="1"/>
  <c r="QH13" i="1"/>
  <c r="QH15" i="1"/>
  <c r="QH17" i="1"/>
  <c r="QE12" i="1"/>
  <c r="QE13" i="1"/>
  <c r="QE14" i="1"/>
  <c r="QE15" i="1"/>
  <c r="QE16" i="1"/>
  <c r="QE17" i="1"/>
  <c r="QC14" i="1"/>
  <c r="QC16" i="1"/>
  <c r="QC12" i="1"/>
  <c r="QA12" i="1"/>
  <c r="QA13" i="1"/>
  <c r="QA14" i="1"/>
  <c r="QA15" i="1"/>
  <c r="QA16" i="1"/>
  <c r="QA17" i="1"/>
  <c r="DK4" i="1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CY12" i="1"/>
  <c r="PY12" i="1"/>
  <c r="CX9" i="1"/>
  <c r="CX10" i="1"/>
  <c r="CX11" i="1"/>
  <c r="CY11" i="1"/>
  <c r="PY11" i="1"/>
  <c r="PZ3" i="1"/>
  <c r="PZ4" i="1"/>
  <c r="PZ5" i="1"/>
  <c r="PZ6" i="1"/>
  <c r="PZ7" i="1"/>
  <c r="PZ8" i="1"/>
  <c r="PZ9" i="1"/>
  <c r="PZ10" i="1"/>
  <c r="PZ11" i="1"/>
  <c r="PZ12" i="1"/>
  <c r="DB4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QB12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C11" i="1"/>
  <c r="DD11" i="1"/>
  <c r="DC12" i="1"/>
  <c r="DD12" i="1"/>
  <c r="QD12" i="1"/>
  <c r="DG10" i="1"/>
  <c r="DG11" i="1"/>
  <c r="DF12" i="1"/>
  <c r="DG12" i="1"/>
  <c r="QF12" i="1"/>
  <c r="QI12" i="1"/>
  <c r="QG12" i="1"/>
  <c r="DK13" i="1"/>
  <c r="CX13" i="1"/>
  <c r="CY13" i="1"/>
  <c r="PY13" i="1"/>
  <c r="PZ13" i="1"/>
  <c r="DA13" i="1"/>
  <c r="DB13" i="1"/>
  <c r="QB13" i="1"/>
  <c r="DC13" i="1"/>
  <c r="DD13" i="1"/>
  <c r="QD13" i="1"/>
  <c r="DG13" i="1"/>
  <c r="QF13" i="1"/>
  <c r="QI13" i="1"/>
  <c r="QG13" i="1"/>
  <c r="DK14" i="1"/>
  <c r="CY14" i="1"/>
  <c r="PY14" i="1"/>
  <c r="PZ14" i="1"/>
  <c r="DA14" i="1"/>
  <c r="DB14" i="1"/>
  <c r="QB14" i="1"/>
  <c r="DC14" i="1"/>
  <c r="DD14" i="1"/>
  <c r="QD14" i="1"/>
  <c r="DF14" i="1"/>
  <c r="DG14" i="1"/>
  <c r="QF14" i="1"/>
  <c r="QI14" i="1"/>
  <c r="QG14" i="1"/>
  <c r="DJ15" i="1"/>
  <c r="DK15" i="1"/>
  <c r="CX15" i="1"/>
  <c r="CY15" i="1"/>
  <c r="PY15" i="1"/>
  <c r="PZ15" i="1"/>
  <c r="DA15" i="1"/>
  <c r="DB15" i="1"/>
  <c r="QB15" i="1"/>
  <c r="DC15" i="1"/>
  <c r="DD15" i="1"/>
  <c r="QD15" i="1"/>
  <c r="DF15" i="1"/>
  <c r="DG15" i="1"/>
  <c r="QF15" i="1"/>
  <c r="QI15" i="1"/>
  <c r="QG15" i="1"/>
  <c r="DJ16" i="1"/>
  <c r="DK16" i="1"/>
  <c r="CX16" i="1"/>
  <c r="CY16" i="1"/>
  <c r="PY16" i="1"/>
  <c r="PZ16" i="1"/>
  <c r="DA16" i="1"/>
  <c r="DB16" i="1"/>
  <c r="QB16" i="1"/>
  <c r="DC16" i="1"/>
  <c r="DD16" i="1"/>
  <c r="QD16" i="1"/>
  <c r="DF16" i="1"/>
  <c r="DG16" i="1"/>
  <c r="QF16" i="1"/>
  <c r="QI16" i="1"/>
  <c r="QG16" i="1"/>
  <c r="DJ17" i="1"/>
  <c r="DK17" i="1"/>
  <c r="CX17" i="1"/>
  <c r="CY17" i="1"/>
  <c r="PY17" i="1"/>
  <c r="PZ17" i="1"/>
  <c r="DA17" i="1"/>
  <c r="DB17" i="1"/>
  <c r="QB17" i="1"/>
  <c r="DC17" i="1"/>
  <c r="DD17" i="1"/>
  <c r="QD17" i="1"/>
  <c r="DF17" i="1"/>
  <c r="DG17" i="1"/>
  <c r="QF17" i="1"/>
  <c r="QI17" i="1"/>
  <c r="QG17" i="1"/>
  <c r="QI11" i="1"/>
  <c r="QG11" i="1"/>
  <c r="QF11" i="1"/>
  <c r="QD11" i="1"/>
  <c r="QB11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X5" i="1"/>
  <c r="DN5" i="7"/>
  <c r="DO5" i="7"/>
  <c r="DY5" i="7"/>
  <c r="NX6" i="1"/>
  <c r="DN6" i="7"/>
  <c r="DO6" i="7"/>
  <c r="DY6" i="7"/>
  <c r="NX7" i="1"/>
  <c r="DN7" i="7"/>
  <c r="DO7" i="7"/>
  <c r="DY7" i="7"/>
  <c r="NX8" i="1"/>
  <c r="DN8" i="7"/>
  <c r="DO8" i="7"/>
  <c r="DY8" i="7"/>
  <c r="NX9" i="1"/>
  <c r="DN9" i="7"/>
  <c r="DO9" i="7"/>
  <c r="DY9" i="7"/>
  <c r="NX10" i="1"/>
  <c r="DN10" i="7"/>
  <c r="DO10" i="7"/>
  <c r="DY10" i="7"/>
  <c r="NX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A17" i="7"/>
  <c r="AJ17" i="1"/>
  <c r="B17" i="7"/>
  <c r="S17" i="7"/>
  <c r="T17" i="7"/>
  <c r="AV17" i="7"/>
  <c r="AN17" i="1"/>
  <c r="AW17" i="7"/>
  <c r="BI17" i="7"/>
  <c r="BJ17" i="7"/>
  <c r="CJ17" i="7"/>
  <c r="CK17" i="7"/>
  <c r="DB17" i="7"/>
  <c r="AR17" i="1"/>
  <c r="DC17" i="7"/>
  <c r="DL17" i="7"/>
  <c r="BL17" i="1"/>
  <c r="C23" i="7"/>
  <c r="DN3" i="7"/>
  <c r="NX12" i="1"/>
  <c r="DN12" i="7"/>
  <c r="NX13" i="1"/>
  <c r="DN13" i="7"/>
  <c r="NX14" i="1"/>
  <c r="DN14" i="7"/>
  <c r="NX15" i="1"/>
  <c r="DN15" i="7"/>
  <c r="NX16" i="1"/>
  <c r="DN16" i="7"/>
  <c r="NX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AP4" i="8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2" i="8"/>
  <c r="PE7" i="1"/>
  <c r="PE8" i="1"/>
  <c r="PE9" i="1"/>
  <c r="PE10" i="1"/>
  <c r="PE11" i="1"/>
  <c r="PE12" i="1"/>
  <c r="PE13" i="1"/>
  <c r="PE14" i="1"/>
  <c r="PE15" i="1"/>
  <c r="PE16" i="1"/>
  <c r="PE17" i="1"/>
  <c r="PK7" i="1"/>
  <c r="PK8" i="1"/>
  <c r="PK9" i="1"/>
  <c r="PK10" i="1"/>
  <c r="PK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6" i="1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T9" i="1"/>
  <c r="PT10" i="1"/>
  <c r="PT11" i="1"/>
  <c r="PT12" i="1"/>
  <c r="PT13" i="1"/>
  <c r="PT14" i="1"/>
  <c r="PT15" i="1"/>
  <c r="PT16" i="1"/>
  <c r="PT17" i="1"/>
  <c r="PS7" i="1"/>
  <c r="PS8" i="1"/>
  <c r="PS9" i="1"/>
  <c r="PS10" i="1"/>
  <c r="PS11" i="1"/>
  <c r="PS12" i="1"/>
  <c r="PS13" i="1"/>
  <c r="PS14" i="1"/>
  <c r="PS15" i="1"/>
  <c r="PS16" i="1"/>
  <c r="PS17" i="1"/>
  <c r="PL10" i="1"/>
  <c r="PL11" i="1"/>
  <c r="PL12" i="1"/>
  <c r="PL13" i="1"/>
  <c r="PL14" i="1"/>
  <c r="PL15" i="1"/>
  <c r="PL16" i="1"/>
  <c r="PL17" i="1"/>
  <c r="PK12" i="1"/>
  <c r="PK13" i="1"/>
  <c r="PK14" i="1"/>
  <c r="PK15" i="1"/>
  <c r="PK16" i="1"/>
  <c r="PK17" i="1"/>
  <c r="PQ7" i="1"/>
  <c r="PQ8" i="1"/>
  <c r="PQ9" i="1"/>
  <c r="PQ10" i="1"/>
  <c r="PQ11" i="1"/>
  <c r="PQ12" i="1"/>
  <c r="PQ13" i="1"/>
  <c r="PQ14" i="1"/>
  <c r="PQ15" i="1"/>
  <c r="PQ16" i="1"/>
  <c r="PQ17" i="1"/>
  <c r="PQ6" i="1"/>
  <c r="PO7" i="1"/>
  <c r="PO8" i="1"/>
  <c r="PO9" i="1"/>
  <c r="PO10" i="1"/>
  <c r="PO11" i="1"/>
  <c r="PO12" i="1"/>
  <c r="PO13" i="1"/>
  <c r="PO14" i="1"/>
  <c r="PO15" i="1"/>
  <c r="PO16" i="1"/>
  <c r="PO17" i="1"/>
  <c r="PO6" i="1"/>
  <c r="PN17" i="1"/>
  <c r="PN16" i="1"/>
  <c r="PN15" i="1"/>
  <c r="PN14" i="1"/>
  <c r="PN13" i="1"/>
  <c r="PN12" i="1"/>
  <c r="PN11" i="1"/>
  <c r="PN10" i="1"/>
  <c r="PN9" i="1"/>
  <c r="PN8" i="1"/>
  <c r="PN7" i="1"/>
  <c r="PN6" i="1"/>
  <c r="PJ7" i="1"/>
  <c r="PJ8" i="1"/>
  <c r="PJ9" i="1"/>
  <c r="PJ10" i="1"/>
  <c r="PJ11" i="1"/>
  <c r="PJ12" i="1"/>
  <c r="PJ13" i="1"/>
  <c r="PJ14" i="1"/>
  <c r="PJ15" i="1"/>
  <c r="PJ16" i="1"/>
  <c r="PJ17" i="1"/>
  <c r="PJ6" i="1"/>
  <c r="PG7" i="1"/>
  <c r="PG8" i="1"/>
  <c r="PG9" i="1"/>
  <c r="PG10" i="1"/>
  <c r="PG11" i="1"/>
  <c r="PG12" i="1"/>
  <c r="PG13" i="1"/>
  <c r="PG14" i="1"/>
  <c r="PG15" i="1"/>
  <c r="PG16" i="1"/>
  <c r="PG17" i="1"/>
  <c r="PG6" i="1"/>
  <c r="BJ16" i="1"/>
  <c r="AH16" i="1"/>
  <c r="F42" i="10"/>
  <c r="BJ12" i="1"/>
  <c r="AH12" i="1"/>
  <c r="F41" i="10"/>
  <c r="BJ5" i="1"/>
  <c r="AH5" i="1"/>
  <c r="F40" i="10"/>
  <c r="BJ4" i="1"/>
  <c r="AH4" i="1"/>
  <c r="BJ6" i="1"/>
  <c r="AH6" i="1"/>
  <c r="BJ7" i="1"/>
  <c r="AH7" i="1"/>
  <c r="BJ8" i="1"/>
  <c r="AH8" i="1"/>
  <c r="BJ9" i="1"/>
  <c r="AH9" i="1"/>
  <c r="BJ10" i="1"/>
  <c r="AH10" i="1"/>
  <c r="BJ11" i="1"/>
  <c r="AH11" i="1"/>
  <c r="BJ13" i="1"/>
  <c r="AH13" i="1"/>
  <c r="BJ14" i="1"/>
  <c r="AH14" i="1"/>
  <c r="BJ15" i="1"/>
  <c r="AH15" i="1"/>
  <c r="BJ17" i="1"/>
  <c r="AH17" i="1"/>
  <c r="BJ3" i="1"/>
  <c r="AH3" i="1"/>
  <c r="BB8" i="1"/>
  <c r="F38" i="10"/>
  <c r="BB16" i="1"/>
  <c r="F39" i="10"/>
  <c r="BB5" i="1"/>
  <c r="F37" i="10"/>
  <c r="NY12" i="1"/>
  <c r="F33" i="10"/>
  <c r="NY8" i="1"/>
  <c r="F32" i="10"/>
  <c r="NY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W5" i="9"/>
  <c r="W4" i="9"/>
  <c r="W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Y4" i="1"/>
  <c r="KL3" i="1"/>
  <c r="KI3" i="1"/>
  <c r="KG3" i="1"/>
  <c r="KE3" i="1"/>
  <c r="KB3" i="1"/>
  <c r="JY5" i="1"/>
  <c r="JY6" i="1"/>
  <c r="JY7" i="1"/>
  <c r="JY8" i="1"/>
  <c r="JY9" i="1"/>
  <c r="JY10" i="1"/>
  <c r="JY11" i="1"/>
  <c r="JY12" i="1"/>
  <c r="JY13" i="1"/>
  <c r="JY14" i="1"/>
  <c r="JY15" i="1"/>
  <c r="JY16" i="1"/>
  <c r="JY17" i="1"/>
  <c r="KL4" i="1"/>
  <c r="KL5" i="1"/>
  <c r="KL6" i="1"/>
  <c r="KL7" i="1"/>
  <c r="KL8" i="1"/>
  <c r="KL9" i="1"/>
  <c r="KL10" i="1"/>
  <c r="KL11" i="1"/>
  <c r="KL12" i="1"/>
  <c r="KL13" i="1"/>
  <c r="KL14" i="1"/>
  <c r="KL15" i="1"/>
  <c r="KL16" i="1"/>
  <c r="KL17" i="1"/>
  <c r="KJ17" i="1"/>
  <c r="CV4" i="1"/>
  <c r="DG4" i="1"/>
  <c r="KI4" i="1"/>
  <c r="KI5" i="1"/>
  <c r="KI6" i="1"/>
  <c r="KI7" i="1"/>
  <c r="KI8" i="1"/>
  <c r="KI9" i="1"/>
  <c r="KI10" i="1"/>
  <c r="KI11" i="1"/>
  <c r="KI12" i="1"/>
  <c r="KI13" i="1"/>
  <c r="KI14" i="1"/>
  <c r="KI15" i="1"/>
  <c r="KI16" i="1"/>
  <c r="KI17" i="1"/>
  <c r="KG5" i="1"/>
  <c r="KG6" i="1"/>
  <c r="KG7" i="1"/>
  <c r="KG8" i="1"/>
  <c r="KG9" i="1"/>
  <c r="KG10" i="1"/>
  <c r="KG11" i="1"/>
  <c r="KG12" i="1"/>
  <c r="KG13" i="1"/>
  <c r="KG14" i="1"/>
  <c r="KG15" i="1"/>
  <c r="KG16" i="1"/>
  <c r="KG17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CY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KC3" i="1"/>
  <c r="KC4" i="1"/>
  <c r="KC5" i="1"/>
  <c r="KC6" i="1"/>
  <c r="KC7" i="1"/>
  <c r="KC8" i="1"/>
  <c r="KC9" i="1"/>
  <c r="KC10" i="1"/>
  <c r="KC11" i="1"/>
  <c r="KC12" i="1"/>
  <c r="KC13" i="1"/>
  <c r="KC14" i="1"/>
  <c r="KC15" i="1"/>
  <c r="KC16" i="1"/>
  <c r="KC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KJ3" i="1"/>
  <c r="AN15" i="8"/>
  <c r="AN16" i="8"/>
  <c r="AN17" i="8"/>
  <c r="AN10" i="8"/>
  <c r="AN11" i="8"/>
  <c r="AN12" i="8"/>
  <c r="AN13" i="8"/>
  <c r="AN8" i="8"/>
  <c r="AK2" i="8"/>
  <c r="AK3" i="8"/>
  <c r="AK4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A16" i="8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PD17" i="1"/>
  <c r="PB17" i="1"/>
  <c r="PA17" i="1"/>
  <c r="OY17" i="1"/>
  <c r="OW17" i="1"/>
  <c r="OT17" i="1"/>
  <c r="OT16" i="1"/>
  <c r="OT15" i="1"/>
  <c r="OT14" i="1"/>
  <c r="OT13" i="1"/>
  <c r="OT12" i="1"/>
  <c r="OT11" i="1"/>
  <c r="CY10" i="1"/>
  <c r="OT10" i="1"/>
  <c r="CY9" i="1"/>
  <c r="OT9" i="1"/>
  <c r="CY8" i="1"/>
  <c r="OT8" i="1"/>
  <c r="CX5" i="1"/>
  <c r="CX6" i="1"/>
  <c r="CX7" i="1"/>
  <c r="CY7" i="1"/>
  <c r="OT7" i="1"/>
  <c r="CY6" i="1"/>
  <c r="OT6" i="1"/>
  <c r="OT3" i="1"/>
  <c r="OU3" i="1"/>
  <c r="OU4" i="1"/>
  <c r="OU5" i="1"/>
  <c r="OU6" i="1"/>
  <c r="OU7" i="1"/>
  <c r="OU8" i="1"/>
  <c r="OU9" i="1"/>
  <c r="OU10" i="1"/>
  <c r="OU11" i="1"/>
  <c r="OU12" i="1"/>
  <c r="OU13" i="1"/>
  <c r="OU14" i="1"/>
  <c r="OU15" i="1"/>
  <c r="OU16" i="1"/>
  <c r="OU17" i="1"/>
  <c r="PD16" i="1"/>
  <c r="PB16" i="1"/>
  <c r="PA16" i="1"/>
  <c r="OY16" i="1"/>
  <c r="OW16" i="1"/>
  <c r="PD15" i="1"/>
  <c r="PB15" i="1"/>
  <c r="PA15" i="1"/>
  <c r="OY15" i="1"/>
  <c r="OW15" i="1"/>
  <c r="PD14" i="1"/>
  <c r="PB14" i="1"/>
  <c r="PA14" i="1"/>
  <c r="OY14" i="1"/>
  <c r="OW14" i="1"/>
  <c r="PD13" i="1"/>
  <c r="PB13" i="1"/>
  <c r="PA13" i="1"/>
  <c r="OY13" i="1"/>
  <c r="OW13" i="1"/>
  <c r="PD12" i="1"/>
  <c r="PB12" i="1"/>
  <c r="PA12" i="1"/>
  <c r="OY12" i="1"/>
  <c r="OW12" i="1"/>
  <c r="PD11" i="1"/>
  <c r="PB11" i="1"/>
  <c r="PA11" i="1"/>
  <c r="OY11" i="1"/>
  <c r="OW11" i="1"/>
  <c r="PD10" i="1"/>
  <c r="PB10" i="1"/>
  <c r="PA10" i="1"/>
  <c r="OY10" i="1"/>
  <c r="OW10" i="1"/>
  <c r="PD9" i="1"/>
  <c r="PB9" i="1"/>
  <c r="PA9" i="1"/>
  <c r="OY9" i="1"/>
  <c r="OW9" i="1"/>
  <c r="PD8" i="1"/>
  <c r="PB8" i="1"/>
  <c r="CV5" i="1"/>
  <c r="DG5" i="1"/>
  <c r="CV6" i="1"/>
  <c r="DG6" i="1"/>
  <c r="CV7" i="1"/>
  <c r="DG7" i="1"/>
  <c r="CV8" i="1"/>
  <c r="DG8" i="1"/>
  <c r="PA8" i="1"/>
  <c r="OY8" i="1"/>
  <c r="OW8" i="1"/>
  <c r="PD7" i="1"/>
  <c r="PB7" i="1"/>
  <c r="PA7" i="1"/>
  <c r="OY7" i="1"/>
  <c r="OW7" i="1"/>
  <c r="PD6" i="1"/>
  <c r="PB6" i="1"/>
  <c r="PA6" i="1"/>
  <c r="OY6" i="1"/>
  <c r="OW6" i="1"/>
  <c r="PD5" i="1"/>
  <c r="PB5" i="1"/>
  <c r="PA4" i="1"/>
  <c r="PA5" i="1"/>
  <c r="OY5" i="1"/>
  <c r="OW5" i="1"/>
  <c r="OT5" i="1"/>
  <c r="PD4" i="1"/>
  <c r="PB4" i="1"/>
  <c r="OY4" i="1"/>
  <c r="OW4" i="1"/>
  <c r="OT4" i="1"/>
  <c r="PD3" i="1"/>
  <c r="PB3" i="1"/>
  <c r="PA3" i="1"/>
  <c r="OY3" i="1"/>
  <c r="OW3" i="1"/>
  <c r="OO17" i="1"/>
  <c r="OM17" i="1"/>
  <c r="OL17" i="1"/>
  <c r="OJ17" i="1"/>
  <c r="OH17" i="1"/>
  <c r="OE17" i="1"/>
  <c r="OE16" i="1"/>
  <c r="OE15" i="1"/>
  <c r="OE14" i="1"/>
  <c r="OE13" i="1"/>
  <c r="OE12" i="1"/>
  <c r="OE11" i="1"/>
  <c r="OE10" i="1"/>
  <c r="OE9" i="1"/>
  <c r="OE8" i="1"/>
  <c r="OE7" i="1"/>
  <c r="OE6" i="1"/>
  <c r="OE5" i="1"/>
  <c r="OE3" i="1"/>
  <c r="OF3" i="1"/>
  <c r="OF4" i="1"/>
  <c r="OF5" i="1"/>
  <c r="OF6" i="1"/>
  <c r="OF7" i="1"/>
  <c r="OF8" i="1"/>
  <c r="OF9" i="1"/>
  <c r="OF10" i="1"/>
  <c r="OF11" i="1"/>
  <c r="OF12" i="1"/>
  <c r="OF13" i="1"/>
  <c r="OF14" i="1"/>
  <c r="OF15" i="1"/>
  <c r="OF16" i="1"/>
  <c r="OF17" i="1"/>
  <c r="OO16" i="1"/>
  <c r="OM16" i="1"/>
  <c r="OL16" i="1"/>
  <c r="OJ16" i="1"/>
  <c r="OH16" i="1"/>
  <c r="OO15" i="1"/>
  <c r="OM15" i="1"/>
  <c r="OL15" i="1"/>
  <c r="OJ15" i="1"/>
  <c r="OH15" i="1"/>
  <c r="OO14" i="1"/>
  <c r="OM14" i="1"/>
  <c r="OL14" i="1"/>
  <c r="OJ14" i="1"/>
  <c r="OH14" i="1"/>
  <c r="OO13" i="1"/>
  <c r="OM13" i="1"/>
  <c r="OL13" i="1"/>
  <c r="OJ13" i="1"/>
  <c r="OH13" i="1"/>
  <c r="OO12" i="1"/>
  <c r="OM12" i="1"/>
  <c r="OL12" i="1"/>
  <c r="OJ12" i="1"/>
  <c r="OH12" i="1"/>
  <c r="OO11" i="1"/>
  <c r="OM11" i="1"/>
  <c r="OL11" i="1"/>
  <c r="OJ11" i="1"/>
  <c r="OH11" i="1"/>
  <c r="OO10" i="1"/>
  <c r="OM10" i="1"/>
  <c r="OL10" i="1"/>
  <c r="OJ10" i="1"/>
  <c r="OH10" i="1"/>
  <c r="OO9" i="1"/>
  <c r="OM9" i="1"/>
  <c r="OL9" i="1"/>
  <c r="OJ9" i="1"/>
  <c r="OH9" i="1"/>
  <c r="OO8" i="1"/>
  <c r="OM8" i="1"/>
  <c r="OL8" i="1"/>
  <c r="OJ8" i="1"/>
  <c r="OH8" i="1"/>
  <c r="OO7" i="1"/>
  <c r="OM7" i="1"/>
  <c r="OL7" i="1"/>
  <c r="OJ7" i="1"/>
  <c r="OH7" i="1"/>
  <c r="OO6" i="1"/>
  <c r="OM6" i="1"/>
  <c r="OL6" i="1"/>
  <c r="OJ6" i="1"/>
  <c r="OH6" i="1"/>
  <c r="OO5" i="1"/>
  <c r="OM5" i="1"/>
  <c r="OL4" i="1"/>
  <c r="OL5" i="1"/>
  <c r="OJ5" i="1"/>
  <c r="OH5" i="1"/>
  <c r="OO4" i="1"/>
  <c r="OM4" i="1"/>
  <c r="OJ4" i="1"/>
  <c r="OH4" i="1"/>
  <c r="OE4" i="1"/>
  <c r="OO3" i="1"/>
  <c r="OM3" i="1"/>
  <c r="OL3" i="1"/>
  <c r="OJ3" i="1"/>
  <c r="OH3" i="1"/>
  <c r="NV17" i="1"/>
  <c r="NT17" i="1"/>
  <c r="NS17" i="1"/>
  <c r="NQ17" i="1"/>
  <c r="NV16" i="1"/>
  <c r="NT16" i="1"/>
  <c r="NS16" i="1"/>
  <c r="NQ16" i="1"/>
  <c r="NV15" i="1"/>
  <c r="NT15" i="1"/>
  <c r="NS15" i="1"/>
  <c r="NQ15" i="1"/>
  <c r="NV14" i="1"/>
  <c r="NT14" i="1"/>
  <c r="NS14" i="1"/>
  <c r="NQ14" i="1"/>
  <c r="NV13" i="1"/>
  <c r="NT13" i="1"/>
  <c r="NS13" i="1"/>
  <c r="NQ13" i="1"/>
  <c r="NV12" i="1"/>
  <c r="NT12" i="1"/>
  <c r="NS12" i="1"/>
  <c r="NQ12" i="1"/>
  <c r="NV11" i="1"/>
  <c r="NT11" i="1"/>
  <c r="NS11" i="1"/>
  <c r="NQ11" i="1"/>
  <c r="NV10" i="1"/>
  <c r="NT10" i="1"/>
  <c r="NS10" i="1"/>
  <c r="NQ10" i="1"/>
  <c r="NV9" i="1"/>
  <c r="NT9" i="1"/>
  <c r="NS9" i="1"/>
  <c r="NQ9" i="1"/>
  <c r="NV8" i="1"/>
  <c r="NT8" i="1"/>
  <c r="NS8" i="1"/>
  <c r="NQ8" i="1"/>
  <c r="NV7" i="1"/>
  <c r="NT7" i="1"/>
  <c r="NS7" i="1"/>
  <c r="NQ7" i="1"/>
  <c r="NV6" i="1"/>
  <c r="NT6" i="1"/>
  <c r="NS6" i="1"/>
  <c r="NQ6" i="1"/>
  <c r="NV5" i="1"/>
  <c r="NT5" i="1"/>
  <c r="NS5" i="1"/>
  <c r="NQ5" i="1"/>
  <c r="NV4" i="1"/>
  <c r="NT4" i="1"/>
  <c r="NS4" i="1"/>
  <c r="NQ4" i="1"/>
  <c r="NV3" i="1"/>
  <c r="NT3" i="1"/>
  <c r="NS3" i="1"/>
  <c r="NQ3" i="1"/>
  <c r="NN17" i="1"/>
  <c r="NN16" i="1"/>
  <c r="NN15" i="1"/>
  <c r="NN14" i="1"/>
  <c r="NN13" i="1"/>
  <c r="NN12" i="1"/>
  <c r="NN11" i="1"/>
  <c r="NN10" i="1"/>
  <c r="NN9" i="1"/>
  <c r="NN8" i="1"/>
  <c r="NN7" i="1"/>
  <c r="NN6" i="1"/>
  <c r="CY5" i="1"/>
  <c r="NN5" i="1"/>
  <c r="NN3" i="1"/>
  <c r="NO3" i="1"/>
  <c r="NN4" i="1"/>
  <c r="NO4" i="1"/>
  <c r="NO5" i="1"/>
  <c r="NO6" i="1"/>
  <c r="NO7" i="1"/>
  <c r="NO8" i="1"/>
  <c r="NO9" i="1"/>
  <c r="NO10" i="1"/>
  <c r="NO11" i="1"/>
  <c r="NO12" i="1"/>
  <c r="NO13" i="1"/>
  <c r="NO14" i="1"/>
  <c r="NO15" i="1"/>
  <c r="NO16" i="1"/>
  <c r="NO17" i="1"/>
  <c r="LM3" i="1"/>
  <c r="MB3" i="1"/>
  <c r="MQ3" i="1"/>
  <c r="NF3" i="1"/>
  <c r="NI17" i="1"/>
  <c r="NG17" i="1"/>
  <c r="NF17" i="1"/>
  <c r="ND17" i="1"/>
  <c r="NB17" i="1"/>
  <c r="MY17" i="1"/>
  <c r="MY16" i="1"/>
  <c r="MY15" i="1"/>
  <c r="MY14" i="1"/>
  <c r="MY13" i="1"/>
  <c r="MY12" i="1"/>
  <c r="MY11" i="1"/>
  <c r="MY3" i="1"/>
  <c r="MZ3" i="1"/>
  <c r="MY4" i="1"/>
  <c r="MZ4" i="1"/>
  <c r="MY5" i="1"/>
  <c r="MZ5" i="1"/>
  <c r="MY6" i="1"/>
  <c r="MZ6" i="1"/>
  <c r="MY7" i="1"/>
  <c r="MZ7" i="1"/>
  <c r="MY8" i="1"/>
  <c r="MZ8" i="1"/>
  <c r="MY9" i="1"/>
  <c r="MZ9" i="1"/>
  <c r="MY10" i="1"/>
  <c r="MZ10" i="1"/>
  <c r="MZ11" i="1"/>
  <c r="MZ12" i="1"/>
  <c r="MZ13" i="1"/>
  <c r="MZ14" i="1"/>
  <c r="MZ15" i="1"/>
  <c r="MZ16" i="1"/>
  <c r="MZ17" i="1"/>
  <c r="NI16" i="1"/>
  <c r="NG16" i="1"/>
  <c r="NF16" i="1"/>
  <c r="ND16" i="1"/>
  <c r="NB16" i="1"/>
  <c r="NI15" i="1"/>
  <c r="NG15" i="1"/>
  <c r="NF15" i="1"/>
  <c r="ND15" i="1"/>
  <c r="NB15" i="1"/>
  <c r="NI14" i="1"/>
  <c r="NG14" i="1"/>
  <c r="NF14" i="1"/>
  <c r="ND14" i="1"/>
  <c r="NB14" i="1"/>
  <c r="NI13" i="1"/>
  <c r="NG13" i="1"/>
  <c r="NF13" i="1"/>
  <c r="ND13" i="1"/>
  <c r="NB13" i="1"/>
  <c r="NI12" i="1"/>
  <c r="NG12" i="1"/>
  <c r="NF12" i="1"/>
  <c r="ND12" i="1"/>
  <c r="NB12" i="1"/>
  <c r="NI11" i="1"/>
  <c r="NG11" i="1"/>
  <c r="NF11" i="1"/>
  <c r="ND11" i="1"/>
  <c r="NB11" i="1"/>
  <c r="NI10" i="1"/>
  <c r="NG10" i="1"/>
  <c r="NF4" i="1"/>
  <c r="NF5" i="1"/>
  <c r="NF6" i="1"/>
  <c r="NF7" i="1"/>
  <c r="NF8" i="1"/>
  <c r="NF9" i="1"/>
  <c r="NF10" i="1"/>
  <c r="ND10" i="1"/>
  <c r="NB10" i="1"/>
  <c r="NI9" i="1"/>
  <c r="NG9" i="1"/>
  <c r="ND9" i="1"/>
  <c r="NB9" i="1"/>
  <c r="NI8" i="1"/>
  <c r="NG8" i="1"/>
  <c r="ND8" i="1"/>
  <c r="NB8" i="1"/>
  <c r="NI7" i="1"/>
  <c r="NG7" i="1"/>
  <c r="ND7" i="1"/>
  <c r="NB7" i="1"/>
  <c r="NI6" i="1"/>
  <c r="NG6" i="1"/>
  <c r="ND6" i="1"/>
  <c r="NB6" i="1"/>
  <c r="NI5" i="1"/>
  <c r="NG5" i="1"/>
  <c r="ND5" i="1"/>
  <c r="NB5" i="1"/>
  <c r="NI4" i="1"/>
  <c r="NG4" i="1"/>
  <c r="ND4" i="1"/>
  <c r="NB4" i="1"/>
  <c r="NI3" i="1"/>
  <c r="NG3" i="1"/>
  <c r="ND3" i="1"/>
  <c r="NB3" i="1"/>
  <c r="MT17" i="1"/>
  <c r="MR17" i="1"/>
  <c r="MQ17" i="1"/>
  <c r="MO17" i="1"/>
  <c r="MM17" i="1"/>
  <c r="MJ17" i="1"/>
  <c r="MJ16" i="1"/>
  <c r="MJ3" i="1"/>
  <c r="MK3" i="1"/>
  <c r="MK4" i="1"/>
  <c r="MK5" i="1"/>
  <c r="MK6" i="1"/>
  <c r="MK7" i="1"/>
  <c r="MK8" i="1"/>
  <c r="MK9" i="1"/>
  <c r="MK10" i="1"/>
  <c r="MJ11" i="1"/>
  <c r="MK11" i="1"/>
  <c r="MJ12" i="1"/>
  <c r="MK12" i="1"/>
  <c r="MJ13" i="1"/>
  <c r="MK13" i="1"/>
  <c r="MJ14" i="1"/>
  <c r="MK14" i="1"/>
  <c r="MJ15" i="1"/>
  <c r="MK15" i="1"/>
  <c r="MK16" i="1"/>
  <c r="MK17" i="1"/>
  <c r="MT16" i="1"/>
  <c r="MR16" i="1"/>
  <c r="MQ16" i="1"/>
  <c r="MO16" i="1"/>
  <c r="MM16" i="1"/>
  <c r="MT15" i="1"/>
  <c r="MR15" i="1"/>
  <c r="MQ4" i="1"/>
  <c r="MQ5" i="1"/>
  <c r="MQ6" i="1"/>
  <c r="MQ7" i="1"/>
  <c r="MQ8" i="1"/>
  <c r="MQ9" i="1"/>
  <c r="MQ10" i="1"/>
  <c r="MQ11" i="1"/>
  <c r="MQ12" i="1"/>
  <c r="MQ13" i="1"/>
  <c r="MQ14" i="1"/>
  <c r="MQ15" i="1"/>
  <c r="MO15" i="1"/>
  <c r="MM15" i="1"/>
  <c r="MT14" i="1"/>
  <c r="MR14" i="1"/>
  <c r="MO14" i="1"/>
  <c r="MM14" i="1"/>
  <c r="MT13" i="1"/>
  <c r="MR13" i="1"/>
  <c r="MO13" i="1"/>
  <c r="MM13" i="1"/>
  <c r="MT12" i="1"/>
  <c r="MR12" i="1"/>
  <c r="MO12" i="1"/>
  <c r="MM12" i="1"/>
  <c r="MT11" i="1"/>
  <c r="MR11" i="1"/>
  <c r="MO11" i="1"/>
  <c r="MM11" i="1"/>
  <c r="MT10" i="1"/>
  <c r="MR10" i="1"/>
  <c r="MO10" i="1"/>
  <c r="MM10" i="1"/>
  <c r="MJ10" i="1"/>
  <c r="MT9" i="1"/>
  <c r="MR9" i="1"/>
  <c r="MO9" i="1"/>
  <c r="MM9" i="1"/>
  <c r="MJ9" i="1"/>
  <c r="MT8" i="1"/>
  <c r="MR8" i="1"/>
  <c r="MO8" i="1"/>
  <c r="MM8" i="1"/>
  <c r="MJ8" i="1"/>
  <c r="MT7" i="1"/>
  <c r="MR7" i="1"/>
  <c r="MO7" i="1"/>
  <c r="MM7" i="1"/>
  <c r="MJ7" i="1"/>
  <c r="MT6" i="1"/>
  <c r="MR6" i="1"/>
  <c r="MO6" i="1"/>
  <c r="MM6" i="1"/>
  <c r="MJ6" i="1"/>
  <c r="MT5" i="1"/>
  <c r="MR5" i="1"/>
  <c r="MO5" i="1"/>
  <c r="MM5" i="1"/>
  <c r="MJ5" i="1"/>
  <c r="MT4" i="1"/>
  <c r="MR4" i="1"/>
  <c r="MO4" i="1"/>
  <c r="MM4" i="1"/>
  <c r="MJ4" i="1"/>
  <c r="MT3" i="1"/>
  <c r="MR3" i="1"/>
  <c r="MO3" i="1"/>
  <c r="MM3" i="1"/>
  <c r="ME17" i="1"/>
  <c r="MC17" i="1"/>
  <c r="MB17" i="1"/>
  <c r="LZ17" i="1"/>
  <c r="LX17" i="1"/>
  <c r="LU17" i="1"/>
  <c r="LU16" i="1"/>
  <c r="LU15" i="1"/>
  <c r="LU14" i="1"/>
  <c r="LU13" i="1"/>
  <c r="LU12" i="1"/>
  <c r="LU11" i="1"/>
  <c r="LU10" i="1"/>
  <c r="LU3" i="1"/>
  <c r="LV3" i="1"/>
  <c r="LV4" i="1"/>
  <c r="LV5" i="1"/>
  <c r="LV6" i="1"/>
  <c r="LV7" i="1"/>
  <c r="LV8" i="1"/>
  <c r="LV9" i="1"/>
  <c r="LV10" i="1"/>
  <c r="LV11" i="1"/>
  <c r="LV12" i="1"/>
  <c r="LV13" i="1"/>
  <c r="LV14" i="1"/>
  <c r="LV15" i="1"/>
  <c r="LV16" i="1"/>
  <c r="LV17" i="1"/>
  <c r="ME16" i="1"/>
  <c r="MC16" i="1"/>
  <c r="MB16" i="1"/>
  <c r="LZ16" i="1"/>
  <c r="LX16" i="1"/>
  <c r="ME15" i="1"/>
  <c r="MC15" i="1"/>
  <c r="MB4" i="1"/>
  <c r="MB5" i="1"/>
  <c r="MB6" i="1"/>
  <c r="MB7" i="1"/>
  <c r="MB8" i="1"/>
  <c r="MB9" i="1"/>
  <c r="MB10" i="1"/>
  <c r="MB11" i="1"/>
  <c r="MB12" i="1"/>
  <c r="MB13" i="1"/>
  <c r="MB14" i="1"/>
  <c r="MB15" i="1"/>
  <c r="LZ15" i="1"/>
  <c r="LX15" i="1"/>
  <c r="ME14" i="1"/>
  <c r="MC14" i="1"/>
  <c r="LZ14" i="1"/>
  <c r="LX14" i="1"/>
  <c r="ME13" i="1"/>
  <c r="MC13" i="1"/>
  <c r="LZ13" i="1"/>
  <c r="LX13" i="1"/>
  <c r="ME12" i="1"/>
  <c r="MC12" i="1"/>
  <c r="LZ12" i="1"/>
  <c r="LX12" i="1"/>
  <c r="ME11" i="1"/>
  <c r="MC11" i="1"/>
  <c r="LZ11" i="1"/>
  <c r="LX11" i="1"/>
  <c r="ME10" i="1"/>
  <c r="MC10" i="1"/>
  <c r="LZ10" i="1"/>
  <c r="LX10" i="1"/>
  <c r="ME9" i="1"/>
  <c r="MC9" i="1"/>
  <c r="LZ9" i="1"/>
  <c r="LX9" i="1"/>
  <c r="LU9" i="1"/>
  <c r="ME8" i="1"/>
  <c r="MC8" i="1"/>
  <c r="LZ8" i="1"/>
  <c r="LX8" i="1"/>
  <c r="LU8" i="1"/>
  <c r="ME7" i="1"/>
  <c r="MC7" i="1"/>
  <c r="LZ7" i="1"/>
  <c r="LX7" i="1"/>
  <c r="LU7" i="1"/>
  <c r="ME6" i="1"/>
  <c r="MC6" i="1"/>
  <c r="LZ6" i="1"/>
  <c r="LX6" i="1"/>
  <c r="LU6" i="1"/>
  <c r="ME5" i="1"/>
  <c r="MC5" i="1"/>
  <c r="LZ5" i="1"/>
  <c r="LX5" i="1"/>
  <c r="LU5" i="1"/>
  <c r="ME4" i="1"/>
  <c r="MC4" i="1"/>
  <c r="LZ4" i="1"/>
  <c r="LX4" i="1"/>
  <c r="LU4" i="1"/>
  <c r="ME3" i="1"/>
  <c r="MC3" i="1"/>
  <c r="LZ3" i="1"/>
  <c r="LX3" i="1"/>
  <c r="LF4" i="1"/>
  <c r="LF5" i="1"/>
  <c r="LF6" i="1"/>
  <c r="LF7" i="1"/>
  <c r="LF8" i="1"/>
  <c r="LF9" i="1"/>
  <c r="LF10" i="1"/>
  <c r="LF11" i="1"/>
  <c r="LF12" i="1"/>
  <c r="LF13" i="1"/>
  <c r="LF14" i="1"/>
  <c r="LF15" i="1"/>
  <c r="LF16" i="1"/>
  <c r="LF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K4" i="1"/>
  <c r="LK5" i="1"/>
  <c r="LK6" i="1"/>
  <c r="LK7" i="1"/>
  <c r="LK8" i="1"/>
  <c r="LK9" i="1"/>
  <c r="LK10" i="1"/>
  <c r="LK11" i="1"/>
  <c r="LK12" i="1"/>
  <c r="LK13" i="1"/>
  <c r="LK14" i="1"/>
  <c r="LK15" i="1"/>
  <c r="LK16" i="1"/>
  <c r="LK17" i="1"/>
  <c r="LP4" i="1"/>
  <c r="LP5" i="1"/>
  <c r="LP6" i="1"/>
  <c r="LP7" i="1"/>
  <c r="LP8" i="1"/>
  <c r="LP9" i="1"/>
  <c r="LP10" i="1"/>
  <c r="LP11" i="1"/>
  <c r="LP12" i="1"/>
  <c r="LP13" i="1"/>
  <c r="LP14" i="1"/>
  <c r="LP15" i="1"/>
  <c r="LP16" i="1"/>
  <c r="LP17" i="1"/>
  <c r="LP3" i="1"/>
  <c r="LM4" i="1"/>
  <c r="LK3" i="1"/>
  <c r="LI3" i="1"/>
  <c r="LF3" i="1"/>
  <c r="LN17" i="1"/>
  <c r="LM17" i="1"/>
  <c r="LG3" i="1"/>
  <c r="LG4" i="1"/>
  <c r="LG5" i="1"/>
  <c r="LG6" i="1"/>
  <c r="LG7" i="1"/>
  <c r="LG8" i="1"/>
  <c r="LG9" i="1"/>
  <c r="LG10" i="1"/>
  <c r="LG11" i="1"/>
  <c r="LG12" i="1"/>
  <c r="LG13" i="1"/>
  <c r="LG14" i="1"/>
  <c r="LG15" i="1"/>
  <c r="LG16" i="1"/>
  <c r="LG17" i="1"/>
  <c r="LN16" i="1"/>
  <c r="LM16" i="1"/>
  <c r="LN15" i="1"/>
  <c r="LM15" i="1"/>
  <c r="LN14" i="1"/>
  <c r="LM14" i="1"/>
  <c r="LN13" i="1"/>
  <c r="LM13" i="1"/>
  <c r="LN12" i="1"/>
  <c r="LM12" i="1"/>
  <c r="LN11" i="1"/>
  <c r="LM11" i="1"/>
  <c r="LN10" i="1"/>
  <c r="LM10" i="1"/>
  <c r="LN9" i="1"/>
  <c r="LM5" i="1"/>
  <c r="LM6" i="1"/>
  <c r="LM7" i="1"/>
  <c r="LM8" i="1"/>
  <c r="LM9" i="1"/>
  <c r="LN8" i="1"/>
  <c r="LN7" i="1"/>
  <c r="LN6" i="1"/>
  <c r="LN5" i="1"/>
  <c r="LN4" i="1"/>
  <c r="LN3" i="1"/>
  <c r="LA17" i="1"/>
  <c r="KY17" i="1"/>
  <c r="KX17" i="1"/>
  <c r="KV17" i="1"/>
  <c r="KT17" i="1"/>
  <c r="KQ17" i="1"/>
  <c r="KQ16" i="1"/>
  <c r="KQ15" i="1"/>
  <c r="KQ14" i="1"/>
  <c r="KQ13" i="1"/>
  <c r="KQ12" i="1"/>
  <c r="KQ11" i="1"/>
  <c r="KQ10" i="1"/>
  <c r="KQ9" i="1"/>
  <c r="KQ8" i="1"/>
  <c r="KQ7" i="1"/>
  <c r="KQ6" i="1"/>
  <c r="KQ5" i="1"/>
  <c r="KQ4" i="1"/>
  <c r="CY3" i="1"/>
  <c r="KQ3" i="1"/>
  <c r="KR3" i="1"/>
  <c r="KR4" i="1"/>
  <c r="KR5" i="1"/>
  <c r="KR6" i="1"/>
  <c r="KR7" i="1"/>
  <c r="KR8" i="1"/>
  <c r="KR9" i="1"/>
  <c r="KR10" i="1"/>
  <c r="KR11" i="1"/>
  <c r="KR12" i="1"/>
  <c r="KR13" i="1"/>
  <c r="KR14" i="1"/>
  <c r="KR15" i="1"/>
  <c r="KR16" i="1"/>
  <c r="KR17" i="1"/>
  <c r="LA16" i="1"/>
  <c r="KY16" i="1"/>
  <c r="KX16" i="1"/>
  <c r="KV16" i="1"/>
  <c r="KT16" i="1"/>
  <c r="LA15" i="1"/>
  <c r="KY15" i="1"/>
  <c r="KX15" i="1"/>
  <c r="KV15" i="1"/>
  <c r="KT15" i="1"/>
  <c r="LA14" i="1"/>
  <c r="KY14" i="1"/>
  <c r="KX14" i="1"/>
  <c r="KV14" i="1"/>
  <c r="KT14" i="1"/>
  <c r="LA13" i="1"/>
  <c r="KY13" i="1"/>
  <c r="KX13" i="1"/>
  <c r="KV13" i="1"/>
  <c r="KT13" i="1"/>
  <c r="LA12" i="1"/>
  <c r="KY12" i="1"/>
  <c r="KX12" i="1"/>
  <c r="KV12" i="1"/>
  <c r="KT12" i="1"/>
  <c r="LA11" i="1"/>
  <c r="KY11" i="1"/>
  <c r="KX11" i="1"/>
  <c r="KV11" i="1"/>
  <c r="KT11" i="1"/>
  <c r="LA10" i="1"/>
  <c r="KY10" i="1"/>
  <c r="KX10" i="1"/>
  <c r="KV10" i="1"/>
  <c r="KT10" i="1"/>
  <c r="LA9" i="1"/>
  <c r="KY9" i="1"/>
  <c r="KX9" i="1"/>
  <c r="KV9" i="1"/>
  <c r="KT9" i="1"/>
  <c r="LA8" i="1"/>
  <c r="KY8" i="1"/>
  <c r="KX8" i="1"/>
  <c r="KV8" i="1"/>
  <c r="KT8" i="1"/>
  <c r="LA7" i="1"/>
  <c r="KY7" i="1"/>
  <c r="KX7" i="1"/>
  <c r="KV7" i="1"/>
  <c r="KT7" i="1"/>
  <c r="LA6" i="1"/>
  <c r="KY6" i="1"/>
  <c r="KX6" i="1"/>
  <c r="KV6" i="1"/>
  <c r="KT6" i="1"/>
  <c r="LA5" i="1"/>
  <c r="KY5" i="1"/>
  <c r="KX5" i="1"/>
  <c r="KV5" i="1"/>
  <c r="KT5" i="1"/>
  <c r="LA4" i="1"/>
  <c r="KY4" i="1"/>
  <c r="KX4" i="1"/>
  <c r="KV4" i="1"/>
  <c r="KT4" i="1"/>
  <c r="LA3" i="1"/>
  <c r="KY3" i="1"/>
  <c r="KX3" i="1"/>
  <c r="KV3" i="1"/>
  <c r="KT3" i="1"/>
  <c r="JW17" i="1"/>
  <c r="JU17" i="1"/>
  <c r="JT17" i="1"/>
  <c r="JR17" i="1"/>
  <c r="JP17" i="1"/>
  <c r="JM17" i="1"/>
  <c r="JM16" i="1"/>
  <c r="JM15" i="1"/>
  <c r="JM14" i="1"/>
  <c r="JM13" i="1"/>
  <c r="JM12" i="1"/>
  <c r="JM11" i="1"/>
  <c r="JM10" i="1"/>
  <c r="JM9" i="1"/>
  <c r="JM8" i="1"/>
  <c r="JM3" i="1"/>
  <c r="JM4" i="1"/>
  <c r="JM5" i="1"/>
  <c r="JM6" i="1"/>
  <c r="JM7" i="1"/>
  <c r="JN3" i="1"/>
  <c r="JN4" i="1"/>
  <c r="JN5" i="1"/>
  <c r="JN6" i="1"/>
  <c r="JN7" i="1"/>
  <c r="JN8" i="1"/>
  <c r="JN9" i="1"/>
  <c r="JN10" i="1"/>
  <c r="JN11" i="1"/>
  <c r="JN12" i="1"/>
  <c r="JN13" i="1"/>
  <c r="JN14" i="1"/>
  <c r="JN15" i="1"/>
  <c r="JN16" i="1"/>
  <c r="JN17" i="1"/>
  <c r="JW16" i="1"/>
  <c r="JU16" i="1"/>
  <c r="JT16" i="1"/>
  <c r="JR16" i="1"/>
  <c r="JP16" i="1"/>
  <c r="JW15" i="1"/>
  <c r="JU15" i="1"/>
  <c r="JT15" i="1"/>
  <c r="JR15" i="1"/>
  <c r="JP15" i="1"/>
  <c r="JW14" i="1"/>
  <c r="JU14" i="1"/>
  <c r="JT14" i="1"/>
  <c r="JR14" i="1"/>
  <c r="JP14" i="1"/>
  <c r="JW13" i="1"/>
  <c r="JU13" i="1"/>
  <c r="JT13" i="1"/>
  <c r="JR13" i="1"/>
  <c r="JP13" i="1"/>
  <c r="JW12" i="1"/>
  <c r="JU12" i="1"/>
  <c r="JT12" i="1"/>
  <c r="JR12" i="1"/>
  <c r="JP12" i="1"/>
  <c r="JW11" i="1"/>
  <c r="JU11" i="1"/>
  <c r="JT11" i="1"/>
  <c r="JR11" i="1"/>
  <c r="JP11" i="1"/>
  <c r="JW10" i="1"/>
  <c r="JU10" i="1"/>
  <c r="JT10" i="1"/>
  <c r="JR10" i="1"/>
  <c r="JP10" i="1"/>
  <c r="JW9" i="1"/>
  <c r="JU9" i="1"/>
  <c r="JT9" i="1"/>
  <c r="JR9" i="1"/>
  <c r="JP9" i="1"/>
  <c r="JW8" i="1"/>
  <c r="JU8" i="1"/>
  <c r="JT8" i="1"/>
  <c r="JR8" i="1"/>
  <c r="JP8" i="1"/>
  <c r="JW3" i="1"/>
  <c r="JW4" i="1"/>
  <c r="JW5" i="1"/>
  <c r="JW6" i="1"/>
  <c r="JW7" i="1"/>
  <c r="JU7" i="1"/>
  <c r="JT3" i="1"/>
  <c r="JT4" i="1"/>
  <c r="JT5" i="1"/>
  <c r="JT6" i="1"/>
  <c r="JT7" i="1"/>
  <c r="JR3" i="1"/>
  <c r="JR4" i="1"/>
  <c r="JR5" i="1"/>
  <c r="JR6" i="1"/>
  <c r="JR7" i="1"/>
  <c r="JP3" i="1"/>
  <c r="JP4" i="1"/>
  <c r="JP5" i="1"/>
  <c r="JP6" i="1"/>
  <c r="JP7" i="1"/>
  <c r="JU6" i="1"/>
  <c r="JU5" i="1"/>
  <c r="JU4" i="1"/>
  <c r="JU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I4" i="1"/>
  <c r="QI5" i="1"/>
  <c r="QD6" i="1"/>
  <c r="QI6" i="1"/>
  <c r="QD7" i="1"/>
  <c r="QI7" i="1"/>
  <c r="QD8" i="1"/>
  <c r="QI8" i="1"/>
  <c r="QD9" i="1"/>
  <c r="QI9" i="1"/>
  <c r="QD10" i="1"/>
  <c r="QI10" i="1"/>
  <c r="QI3" i="1"/>
  <c r="QG10" i="1"/>
  <c r="QG9" i="1"/>
  <c r="QG8" i="1"/>
  <c r="QG7" i="1"/>
  <c r="QG6" i="1"/>
  <c r="QG5" i="1"/>
  <c r="QG4" i="1"/>
  <c r="QG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QF10" i="1"/>
  <c r="AV4" i="1"/>
  <c r="AX4" i="1"/>
  <c r="AZ4" i="1"/>
  <c r="BR4" i="1"/>
  <c r="BT4" i="1"/>
  <c r="BV4" i="1"/>
  <c r="BX4" i="1"/>
  <c r="BZ4" i="1"/>
  <c r="NZ4" i="1"/>
  <c r="AV5" i="1"/>
  <c r="AX5" i="1"/>
  <c r="AZ5" i="1"/>
  <c r="BR5" i="1"/>
  <c r="BT5" i="1"/>
  <c r="BV5" i="1"/>
  <c r="BX5" i="1"/>
  <c r="BZ5" i="1"/>
  <c r="QB5" i="1"/>
  <c r="NZ5" i="1"/>
  <c r="AV6" i="1"/>
  <c r="AX6" i="1"/>
  <c r="AZ6" i="1"/>
  <c r="BR6" i="1"/>
  <c r="BT6" i="1"/>
  <c r="BV6" i="1"/>
  <c r="BX6" i="1"/>
  <c r="BZ6" i="1"/>
  <c r="QB6" i="1"/>
  <c r="NZ6" i="1"/>
  <c r="AV7" i="1"/>
  <c r="AX7" i="1"/>
  <c r="AZ7" i="1"/>
  <c r="BR7" i="1"/>
  <c r="BT7" i="1"/>
  <c r="BV7" i="1"/>
  <c r="BX7" i="1"/>
  <c r="BZ7" i="1"/>
  <c r="QB7" i="1"/>
  <c r="NZ7" i="1"/>
  <c r="AV8" i="1"/>
  <c r="AX8" i="1"/>
  <c r="AZ8" i="1"/>
  <c r="BR8" i="1"/>
  <c r="BT8" i="1"/>
  <c r="BV8" i="1"/>
  <c r="BX8" i="1"/>
  <c r="BZ8" i="1"/>
  <c r="QB8" i="1"/>
  <c r="NZ8" i="1"/>
  <c r="AV9" i="1"/>
  <c r="AX9" i="1"/>
  <c r="AZ9" i="1"/>
  <c r="BR9" i="1"/>
  <c r="BT9" i="1"/>
  <c r="BV9" i="1"/>
  <c r="BX9" i="1"/>
  <c r="BZ9" i="1"/>
  <c r="QB9" i="1"/>
  <c r="NZ9" i="1"/>
  <c r="AV10" i="1"/>
  <c r="AX10" i="1"/>
  <c r="AZ10" i="1"/>
  <c r="BR10" i="1"/>
  <c r="BT10" i="1"/>
  <c r="BV10" i="1"/>
  <c r="BX10" i="1"/>
  <c r="BZ10" i="1"/>
  <c r="QB10" i="1"/>
  <c r="NZ10" i="1"/>
  <c r="AV11" i="1"/>
  <c r="AX11" i="1"/>
  <c r="AZ11" i="1"/>
  <c r="BR11" i="1"/>
  <c r="BT11" i="1"/>
  <c r="BV11" i="1"/>
  <c r="BX11" i="1"/>
  <c r="BZ11" i="1"/>
  <c r="NZ11" i="1"/>
  <c r="AV12" i="1"/>
  <c r="AX12" i="1"/>
  <c r="AZ12" i="1"/>
  <c r="BR12" i="1"/>
  <c r="BT12" i="1"/>
  <c r="BV12" i="1"/>
  <c r="BX12" i="1"/>
  <c r="BZ12" i="1"/>
  <c r="NZ12" i="1"/>
  <c r="AV13" i="1"/>
  <c r="AX13" i="1"/>
  <c r="AZ13" i="1"/>
  <c r="BR13" i="1"/>
  <c r="BT13" i="1"/>
  <c r="BV13" i="1"/>
  <c r="BX13" i="1"/>
  <c r="BZ13" i="1"/>
  <c r="NZ13" i="1"/>
  <c r="AV14" i="1"/>
  <c r="AX14" i="1"/>
  <c r="AZ14" i="1"/>
  <c r="BR14" i="1"/>
  <c r="BT14" i="1"/>
  <c r="BV14" i="1"/>
  <c r="BX14" i="1"/>
  <c r="BZ14" i="1"/>
  <c r="NZ14" i="1"/>
  <c r="AV15" i="1"/>
  <c r="AX15" i="1"/>
  <c r="AZ15" i="1"/>
  <c r="BR15" i="1"/>
  <c r="BT15" i="1"/>
  <c r="BV15" i="1"/>
  <c r="BX15" i="1"/>
  <c r="BZ15" i="1"/>
  <c r="NZ15" i="1"/>
  <c r="AV16" i="1"/>
  <c r="AX16" i="1"/>
  <c r="AZ16" i="1"/>
  <c r="BR16" i="1"/>
  <c r="BT16" i="1"/>
  <c r="BV16" i="1"/>
  <c r="BX16" i="1"/>
  <c r="BZ16" i="1"/>
  <c r="NZ16" i="1"/>
  <c r="AV17" i="1"/>
  <c r="AX17" i="1"/>
  <c r="AZ17" i="1"/>
  <c r="BR17" i="1"/>
  <c r="BT17" i="1"/>
  <c r="BV17" i="1"/>
  <c r="BX17" i="1"/>
  <c r="BZ17" i="1"/>
  <c r="NZ17" i="1"/>
  <c r="AV3" i="1"/>
  <c r="AX3" i="1"/>
  <c r="AZ3" i="1"/>
  <c r="BR3" i="1"/>
  <c r="BT3" i="1"/>
  <c r="BV3" i="1"/>
  <c r="BX3" i="1"/>
  <c r="BZ3" i="1"/>
  <c r="NZ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Y5" i="1"/>
  <c r="PY6" i="1"/>
  <c r="PY7" i="1"/>
  <c r="PY8" i="1"/>
  <c r="PY9" i="1"/>
  <c r="PY10" i="1"/>
  <c r="QF5" i="1"/>
  <c r="QF6" i="1"/>
  <c r="QF7" i="1"/>
  <c r="QF8" i="1"/>
  <c r="NY6" i="1"/>
  <c r="NY7" i="1"/>
  <c r="NY9" i="1"/>
  <c r="NY10" i="1"/>
  <c r="NY11" i="1"/>
  <c r="NY13" i="1"/>
  <c r="NY14" i="1"/>
  <c r="NY15" i="1"/>
  <c r="NY16" i="1"/>
  <c r="NY17" i="1"/>
  <c r="NY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<sst xmlns="http://schemas.openxmlformats.org/spreadsheetml/2006/main" count="1558" uniqueCount="514">
  <si>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</si>
  <si>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</si>
  <si>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</si>
  <si>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</si>
  <si>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</si>
  <si>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</si>
  <si>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</si>
  <si>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</si>
  <si>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</si>
  <si>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</si>
  <si>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</si>
  <si>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</si>
  <si>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</si>
  <si>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</si>
  <si>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</si>
  <si>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</si>
  <si>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</si>
  <si>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</si>
  <si>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</si>
  <si>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</si>
  <si>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</si>
  <si>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</si>
  <si>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</si>
  <si>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</si>
  <si>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</si>
  <si>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</si>
  <si>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</si>
  <si>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</si>
  <si>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</si>
  <si>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</si>
  <si>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</si>
  <si>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</si>
  <si>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</si>
  <si>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</si>
  <si>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</si>
  <si>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</si>
  <si>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</si>
  <si>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</si>
  <si>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</si>
  <si>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</si>
  <si>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</si>
  <si>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</si>
  <si>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</si>
  <si>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</si>
  <si>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</si>
  <si>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</si>
  <si>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</si>
  <si>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</si>
  <si>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</si>
  <si>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</si>
  <si>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</si>
  <si>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</si>
  <si>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</si>
  <si>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</si>
  <si>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</si>
  <si>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</si>
  <si>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</si>
  <si>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</si>
  <si>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</si>
  <si>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</si>
  <si>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</si>
  <si>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</si>
  <si>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</si>
  <si>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</si>
  <si>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</si>
  <si>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</si>
  <si>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</si>
  <si>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</si>
  <si>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</si>
  <si>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</si>
  <si>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</si>
  <si>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</si>
  <si>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</si>
  <si>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</si>
  <si>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</si>
  <si>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</si>
  <si>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</si>
  <si>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</si>
  <si>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</si>
  <si>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</si>
  <si>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</si>
  <si>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</si>
  <si>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</si>
  <si>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</si>
  <si>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</si>
  <si>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</si>
  <si>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</si>
  <si>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</si>
  <si>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</si>
  <si>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</si>
  <si>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</si>
  <si>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</si>
  <si>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</si>
  <si>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</si>
  <si>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</si>
  <si>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</si>
  <si>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</si>
  <si>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</si>
  <si>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</si>
  <si>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</si>
  <si>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</si>
  <si>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</si>
  <si>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</si>
  <si>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</si>
  <si>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</si>
  <si>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</si>
  <si>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</si>
  <si>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</si>
  <si>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</si>
  <si>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</si>
  <si>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</si>
  <si>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</si>
  <si>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</si>
  <si>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</si>
  <si>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</si>
  <si>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</si>
  <si>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</si>
  <si>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</si>
  <si>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</si>
  <si>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</si>
  <si>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</si>
  <si>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</si>
  <si>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</si>
  <si>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</si>
  <si>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</si>
  <si>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</si>
  <si>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</si>
  <si>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</si>
  <si>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</si>
  <si>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</si>
  <si>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</si>
  <si>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</si>
  <si>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</si>
  <si>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</si>
  <si>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</si>
  <si>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</si>
  <si>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</si>
  <si>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</si>
  <si>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</si>
  <si>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</si>
  <si>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</si>
  <si>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</si>
  <si>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</si>
  <si>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</si>
  <si>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</si>
  <si>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</si>
  <si>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</si>
  <si>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</si>
  <si>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</si>
  <si>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</si>
  <si>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</si>
  <si>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</si>
  <si>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</si>
  <si>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</si>
  <si>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</si>
  <si>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</si>
  <si>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</si>
  <si>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</si>
  <si>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</si>
  <si>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</si>
  <si>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</si>
  <si>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</si>
  <si>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</si>
  <si>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</si>
  <si>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</si>
  <si>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</si>
  <si>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</si>
  <si>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</si>
  <si>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</si>
  <si>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</si>
  <si>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</si>
  <si>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</si>
  <si>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</si>
  <si>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</si>
  <si>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</si>
  <si>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</si>
  <si>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</si>
  <si>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</si>
  <si>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</si>
  <si>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</si>
  <si>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</si>
  <si>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</si>
  <si>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</si>
  <si>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</si>
  <si>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</si>
  <si>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</si>
  <si>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</si>
  <si>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</si>
  <si>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</si>
  <si>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</si>
  <si>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</si>
  <si>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</si>
  <si>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</si>
  <si>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</si>
  <si>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</si>
  <si>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</si>
  <si>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</si>
  <si>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</si>
  <si>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</si>
  <si>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</si>
  <si>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</si>
  <si>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</si>
  <si>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</si>
  <si>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</si>
  <si>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</si>
  <si>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</si>
  <si>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</si>
  <si>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</si>
  <si>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</si>
  <si>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</si>
  <si>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</si>
  <si>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</si>
  <si>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</si>
  <si>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</si>
  <si>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</si>
  <si>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</si>
  <si>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</si>
  <si>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</si>
  <si>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</si>
  <si>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</si>
  <si>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</si>
  <si>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</si>
  <si>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</si>
  <si>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</si>
  <si>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</si>
  <si>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</si>
  <si>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</si>
  <si>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</si>
  <si>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</si>
  <si>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</si>
  <si>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</si>
  <si>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</si>
  <si>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</si>
  <si>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</si>
  <si>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</si>
  <si>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</si>
  <si>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</si>
  <si>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</si>
  <si>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</si>
  <si>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</si>
  <si>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</si>
  <si>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</si>
  <si>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</si>
  <si>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</si>
  <si>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</si>
  <si>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</si>
  <si>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</si>
  <si>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</si>
  <si>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</si>
  <si>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</si>
  <si>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</si>
  <si>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</si>
  <si>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</si>
  <si>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</si>
  <si>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</si>
  <si>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</si>
  <si>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</si>
  <si>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</si>
  <si>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</si>
  <si>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</si>
  <si>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</si>
  <si>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</si>
  <si>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</si>
  <si>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</si>
  <si>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</si>
  <si>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</si>
  <si>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</si>
  <si>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</si>
  <si>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</si>
  <si>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</si>
  <si>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</si>
  <si>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</si>
  <si>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</si>
  <si>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</si>
  <si>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</si>
  <si>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</si>
  <si>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</si>
  <si>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</si>
  <si>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</si>
  <si>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</si>
  <si>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</si>
  <si>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</si>
  <si>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</si>
  <si>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</si>
  <si>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</si>
  <si>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</si>
  <si>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</si>
  <si>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</si>
  <si>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</si>
  <si>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</si>
  <si>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</si>
  <si>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</si>
  <si>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</si>
  <si>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</si>
  <si>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</si>
  <si>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</si>
  <si>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</si>
  <si>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</si>
  <si>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</si>
  <si>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</si>
  <si>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</si>
  <si>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</si>
  <si>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</si>
  <si>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</si>
  <si>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</si>
  <si>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</si>
  <si>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</si>
  <si>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</si>
  <si>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</si>
  <si>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</si>
  <si>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</si>
  <si>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</si>
  <si>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</si>
  <si>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</si>
  <si>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</si>
  <si>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</si>
  <si>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</si>
  <si>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</si>
  <si>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</si>
  <si>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</si>
  <si>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</si>
  <si>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</si>
  <si>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</si>
  <si>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</si>
  <si>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</si>
  <si>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</si>
  <si>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</si>
  <si>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</si>
  <si>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</si>
  <si>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</si>
  <si>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</si>
  <si>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</si>
  <si>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</si>
  <si>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</si>
  <si>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</si>
  <si>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</si>
  <si>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</si>
  <si>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</si>
  <si>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</si>
  <si>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</si>
  <si>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</si>
  <si>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</si>
  <si>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</si>
  <si>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</si>
  <si>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</si>
  <si>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</si>
  <si>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</si>
  <si>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</si>
  <si>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</si>
  <si>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</si>
  <si>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</si>
  <si>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</si>
  <si>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</si>
  <si>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</si>
  <si>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</si>
  <si>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</si>
  <si>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</si>
  <si>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</si>
  <si>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</si>
  <si>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</si>
  <si>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</si>
  <si>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</si>
  <si>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</si>
  <si>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</si>
  <si>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</si>
  <si>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</si>
  <si>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</si>
  <si>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</si>
  <si>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</si>
  <si>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</si>
  <si>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</si>
  <si>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</si>
  <si>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</si>
  <si>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</si>
  <si>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</si>
  <si>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</si>
  <si>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</si>
  <si>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</si>
  <si>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</si>
  <si>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</si>
  <si>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</si>
  <si>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</si>
  <si>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</si>
  <si>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</si>
  <si>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</si>
  <si>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</si>
  <si>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</si>
  <si>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</si>
  <si>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</si>
  <si>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</si>
  <si>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</si>
  <si>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</si>
  <si>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</si>
  <si>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</si>
  <si>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</si>
  <si>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</si>
  <si>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</si>
  <si>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</si>
  <si>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</si>
  <si>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</si>
  <si>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</si>
  <si>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</si>
  <si>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</si>
  <si>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</si>
  <si>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</si>
  <si>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</si>
  <si>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</si>
  <si>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</si>
  <si>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</si>
  <si>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</si>
  <si>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</si>
  <si>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</si>
  <si>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</si>
  <si>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</si>
  <si>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</si>
  <si>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</si>
  <si>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</si>
  <si>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</si>
  <si>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</si>
  <si>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</si>
  <si>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</si>
  <si>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</si>
  <si>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</si>
  <si>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</si>
  <si>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</si>
  <si>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</si>
  <si>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</si>
  <si>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</si>
  <si>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</si>
  <si>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</si>
  <si>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</si>
  <si>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</si>
  <si>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</si>
  <si>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</si>
  <si>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</si>
  <si>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</si>
  <si>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</si>
  <si>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</si>
  <si>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</si>
  <si>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</si>
  <si>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</si>
  <si>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</si>
  <si>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</si>
  <si>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</si>
  <si>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</si>
  <si>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</si>
  <si>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</si>
  <si>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</si>
  <si>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</si>
  <si>
    <t>fireRange</t>
  </si>
  <si>
    <t>rateOfFire</t>
  </si>
  <si>
    <t>hitPoints</t>
  </si>
  <si>
    <t>damagePerShot</t>
  </si>
  <si>
    <t>demagePerShot</t>
  </si>
  <si>
    <t>speed</t>
  </si>
  <si>
    <t>charge</t>
  </si>
  <si>
    <t>chargeSize</t>
  </si>
  <si>
    <t>a_rocket</t>
  </si>
  <si>
    <t>a_heal</t>
  </si>
  <si>
    <t>max.a_rocket</t>
  </si>
  <si>
    <t>max.a_heal</t>
  </si>
  <si>
    <t>max.a_power</t>
  </si>
  <si>
    <t>damage</t>
  </si>
  <si>
    <t>a_power</t>
  </si>
  <si>
    <t>radius</t>
  </si>
  <si>
    <t>heal</t>
  </si>
  <si>
    <t>power</t>
  </si>
  <si>
    <t>rocket</t>
  </si>
  <si>
    <t>timer</t>
  </si>
  <si>
    <t>max.mine</t>
  </si>
  <si>
    <t>for</t>
  </si>
  <si>
    <t>rateOfFire.pr</t>
  </si>
  <si>
    <t>chance</t>
  </si>
  <si>
    <t>speed.lvl1</t>
  </si>
  <si>
    <t>speed.lvl2</t>
  </si>
  <si>
    <t>speed.pr</t>
  </si>
  <si>
    <t>fireRange.pr</t>
  </si>
  <si>
    <t>damagePerShot.pr</t>
  </si>
  <si>
    <t>hitPoints.pr</t>
  </si>
  <si>
    <t>groupProtect</t>
  </si>
  <si>
    <t>heavyProtect</t>
  </si>
  <si>
    <t>teleport</t>
  </si>
  <si>
    <t>extDeploy</t>
  </si>
  <si>
    <t>b.rateOfFire.lvl1</t>
  </si>
  <si>
    <t>b.rateOfFire.lvl2</t>
  </si>
  <si>
    <t>b.fireRange.lvl1</t>
  </si>
  <si>
    <t>b.fireRange.lvl2</t>
  </si>
  <si>
    <t>b.damagePerShot.lvl1</t>
  </si>
  <si>
    <t>b.damagePerShot.lvl2</t>
  </si>
  <si>
    <t>b.hitPoints.lvl1</t>
  </si>
  <si>
    <t>b.hitPoints.lvl2</t>
  </si>
  <si>
    <t>notFor</t>
  </si>
  <si>
    <t>coorDeploy</t>
  </si>
  <si>
    <t>shotThrough</t>
  </si>
  <si>
    <t>freezing</t>
  </si>
  <si>
    <t>sentryGub</t>
  </si>
  <si>
    <t>fasterRocket</t>
  </si>
  <si>
    <t>incCoverRange</t>
  </si>
  <si>
    <t>u.rateOfFire.lvl1</t>
  </si>
  <si>
    <t>u.rateOfFire.lvl2</t>
  </si>
  <si>
    <t>u.fireRange.lvl1</t>
  </si>
  <si>
    <t>u.fireRange.lvl2</t>
  </si>
  <si>
    <t>u.damagePerShot.lvl1</t>
  </si>
  <si>
    <t>u.damagePerShot.lvl2</t>
  </si>
  <si>
    <t>u.hitPoints.lvl1</t>
  </si>
  <si>
    <t>u.hitPoints.lvl2</t>
  </si>
  <si>
    <t>common</t>
  </si>
  <si>
    <t>rare</t>
  </si>
  <si>
    <t>epic</t>
  </si>
  <si>
    <t>legend</t>
  </si>
  <si>
    <t>unitCapacity</t>
  </si>
  <si>
    <t>hireTime</t>
  </si>
  <si>
    <t>hirePrice</t>
  </si>
  <si>
    <t>seats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</si>
</sst>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23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9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12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I31"/>
  <sheetViews>
    <sheetView tabSelected="1" workbookViewId="0">
      <pane xSplit="1" topLeftCell="IS1" activePane="topRight" state="frozen"/>
      <selection pane="topRight" activeCell="JE11" sqref="JE11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9" width="9.83203125" style="1" customWidth="1"/>
    <col min="260" max="260" width="14" style="1" customWidth="1"/>
    <col min="261" max="261" width="13.1640625" style="1" customWidth="1"/>
    <col min="262" max="268" width="12.33203125" style="1" customWidth="1"/>
    <col min="269" max="269" width="9.83203125" style="1" customWidth="1"/>
    <col min="270" max="272" width="6.6640625" style="5" customWidth="1"/>
    <col min="273" max="277" width="8" style="25" customWidth="1"/>
    <col min="278" max="279" width="10.1640625" style="1" customWidth="1"/>
    <col min="280" max="280" width="10.33203125" style="1" customWidth="1"/>
    <col min="281" max="299" width="9.33203125" style="1" customWidth="1"/>
    <col min="300" max="302" width="6.6640625" style="5" customWidth="1"/>
    <col min="303" max="307" width="6.6640625" style="25" customWidth="1"/>
    <col min="308" max="308" width="10.6640625" style="1" customWidth="1"/>
    <col min="309" max="309" width="6.6640625" style="1" customWidth="1"/>
    <col min="310" max="310" width="10.33203125" style="1" customWidth="1"/>
    <col min="311" max="314" width="9.83203125" style="1" customWidth="1"/>
    <col min="315" max="317" width="6.6640625" style="5" customWidth="1"/>
    <col min="318" max="322" width="7.6640625" style="25" customWidth="1"/>
    <col min="323" max="324" width="10.5" style="1" customWidth="1"/>
    <col min="325" max="325" width="9.6640625" style="1" customWidth="1"/>
    <col min="326" max="329" width="10.83203125" style="1" customWidth="1"/>
    <col min="330" max="332" width="6.6640625" style="5" customWidth="1"/>
    <col min="333" max="337" width="6.6640625" style="1" customWidth="1"/>
    <col min="338" max="344" width="9.83203125" style="1" customWidth="1"/>
    <col min="345" max="347" width="6.6640625" style="5" customWidth="1"/>
    <col min="348" max="352" width="6.6640625" style="25" customWidth="1"/>
    <col min="353" max="355" width="9.83203125" style="1" customWidth="1"/>
    <col min="356" max="359" width="11" style="1" customWidth="1"/>
    <col min="360" max="362" width="6.6640625" style="5" customWidth="1"/>
    <col min="363" max="367" width="9.1640625" style="25" customWidth="1"/>
    <col min="368" max="368" width="11.1640625" style="1" customWidth="1"/>
    <col min="369" max="369" width="10.33203125" style="1" customWidth="1"/>
    <col min="370" max="370" width="12.1640625" style="1" customWidth="1"/>
    <col min="371" max="374" width="9.33203125" style="1" customWidth="1"/>
    <col min="375" max="377" width="6.6640625" style="5" customWidth="1"/>
    <col min="378" max="380" width="9.5" style="25" customWidth="1"/>
    <col min="381" max="381" width="11" style="1" customWidth="1"/>
    <col min="382" max="382" width="8.33203125" style="1" customWidth="1"/>
    <col min="383" max="383" width="12" style="1" customWidth="1"/>
    <col min="384" max="386" width="10.5" style="1" customWidth="1"/>
    <col min="387" max="387" width="10.5" style="2" customWidth="1"/>
    <col min="388" max="388" width="9.83203125" style="1" customWidth="1"/>
    <col min="389" max="389" width="12.1640625" style="1" customWidth="1"/>
    <col min="390" max="399" width="8.33203125" style="1"/>
    <col min="400" max="401" width="10.83203125" style="1" customWidth="1"/>
    <col min="402" max="402" width="10.1640625" style="1" customWidth="1"/>
    <col min="403" max="406" width="11.83203125" style="1" customWidth="1"/>
    <col min="407" max="414" width="8.33203125" style="1"/>
    <col min="415" max="416" width="10.5" style="1" customWidth="1"/>
    <col min="417" max="417" width="10" style="1" customWidth="1"/>
    <col min="418" max="420" width="12.1640625" style="1" customWidth="1"/>
    <col min="421" max="422" width="12.1640625" style="81" customWidth="1"/>
    <col min="423" max="423" width="12.1640625" style="6" customWidth="1"/>
    <col min="424" max="424" width="12.1640625" style="1" customWidth="1"/>
    <col min="425" max="425" width="5.6640625" style="2" customWidth="1"/>
    <col min="426" max="426" width="12.1640625" style="1" customWidth="1"/>
    <col min="427" max="428" width="12.1640625" style="81" customWidth="1"/>
    <col min="429" max="431" width="12.1640625" style="1" customWidth="1"/>
    <col min="432" max="432" width="4.5" style="1" customWidth="1"/>
    <col min="433" max="435" width="12.1640625" style="1" customWidth="1"/>
    <col min="436" max="436" width="12.1640625" style="81" customWidth="1"/>
    <col min="437" max="437" width="12.1640625" style="1" customWidth="1"/>
    <col min="438" max="445" width="8.33203125" style="1"/>
    <col min="446" max="446" width="13.1640625" style="1" customWidth="1"/>
    <col min="447" max="447" width="8.33203125" style="1"/>
    <col min="448" max="448" width="11.6640625" style="1" customWidth="1"/>
    <col min="449" max="451" width="11.33203125" style="1" customWidth="1"/>
    <col min="452" max="16384" width="8.33203125" style="1"/>
  </cols>
  <sheetData>
    <row r="1" spans="1:451" ht="16">
      <c r="A1" s="109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9" t="s">
        <v>39</v>
      </c>
      <c r="AH1" s="109"/>
      <c r="AI1" s="109"/>
      <c r="AJ1" s="110" t="s">
        <v>1</v>
      </c>
      <c r="AK1" s="110"/>
      <c r="AL1" s="110" t="s">
        <v>2</v>
      </c>
      <c r="AM1" s="110"/>
      <c r="AN1" s="110" t="s">
        <v>3</v>
      </c>
      <c r="AO1" s="110"/>
      <c r="AP1" s="110" t="s">
        <v>4</v>
      </c>
      <c r="AQ1" s="110"/>
      <c r="AR1" s="110" t="s">
        <v>5</v>
      </c>
      <c r="AS1" s="110"/>
      <c r="AT1" s="110" t="s">
        <v>6</v>
      </c>
      <c r="AU1" s="110"/>
      <c r="AV1" s="109" t="s">
        <v>7</v>
      </c>
      <c r="AW1" s="109"/>
      <c r="AX1" s="1" t="s">
        <v>8</v>
      </c>
      <c r="AZ1" s="109" t="s">
        <v>9</v>
      </c>
      <c r="BA1" s="109"/>
      <c r="BB1" s="1" t="s">
        <v>135</v>
      </c>
      <c r="BD1" s="1" t="s">
        <v>10</v>
      </c>
      <c r="BF1" s="109" t="s">
        <v>11</v>
      </c>
      <c r="BG1" s="109"/>
      <c r="BH1" s="109" t="s">
        <v>12</v>
      </c>
      <c r="BI1" s="109"/>
      <c r="BJ1" s="109" t="s">
        <v>35</v>
      </c>
      <c r="BK1" s="109"/>
      <c r="BL1" s="109" t="s">
        <v>33</v>
      </c>
      <c r="BM1" s="109"/>
      <c r="BN1" s="109" t="s">
        <v>34</v>
      </c>
      <c r="BO1" s="109"/>
      <c r="BP1" s="109" t="s">
        <v>36</v>
      </c>
      <c r="BQ1" s="109"/>
      <c r="BR1" s="109" t="s">
        <v>27</v>
      </c>
      <c r="BS1" s="109"/>
      <c r="BT1" s="109" t="s">
        <v>28</v>
      </c>
      <c r="BU1" s="109"/>
      <c r="BV1" s="109" t="s">
        <v>32</v>
      </c>
      <c r="BW1" s="109"/>
      <c r="BX1" s="109" t="s">
        <v>31</v>
      </c>
      <c r="BY1" s="109"/>
      <c r="BZ1" s="109" t="s">
        <v>93</v>
      </c>
      <c r="CA1" s="109"/>
      <c r="CB1" s="10"/>
      <c r="CC1" s="109" t="s">
        <v>88</v>
      </c>
      <c r="CD1" s="109"/>
      <c r="CE1" s="109"/>
      <c r="CF1" s="109"/>
      <c r="CG1" s="109"/>
      <c r="CH1" s="10"/>
      <c r="CI1" s="109" t="s">
        <v>89</v>
      </c>
      <c r="CJ1" s="109"/>
      <c r="CK1" s="109"/>
      <c r="CL1" s="109"/>
      <c r="CM1" s="109"/>
      <c r="CN1" s="11"/>
      <c r="CO1" s="109" t="s">
        <v>90</v>
      </c>
      <c r="CP1" s="109"/>
      <c r="CQ1" s="109"/>
      <c r="CR1" s="109"/>
      <c r="CS1" s="109"/>
      <c r="CT1" s="10"/>
      <c r="CU1" s="10"/>
      <c r="CV1" s="109" t="s">
        <v>116</v>
      </c>
      <c r="CW1" s="109"/>
      <c r="CX1" s="109"/>
      <c r="CY1" s="109"/>
      <c r="CZ1" s="109"/>
      <c r="DA1" s="109"/>
      <c r="DB1" s="109"/>
      <c r="DC1" s="109"/>
      <c r="DD1" s="109"/>
      <c r="DE1" s="109"/>
      <c r="DF1" s="109"/>
      <c r="DG1" s="109"/>
      <c r="DH1" s="109"/>
      <c r="DI1" s="109"/>
      <c r="DJ1" s="109"/>
      <c r="DK1" s="109"/>
      <c r="DL1" s="41"/>
      <c r="DM1" s="10"/>
      <c r="DN1" s="109" t="s">
        <v>1</v>
      </c>
      <c r="DO1" s="109"/>
      <c r="DP1" s="109"/>
      <c r="DQ1" s="109"/>
      <c r="DR1" s="109"/>
      <c r="DS1" s="109"/>
      <c r="DT1" s="109"/>
      <c r="DU1" s="109"/>
      <c r="DV1" s="109"/>
      <c r="DW1" s="109"/>
      <c r="DX1" s="109"/>
      <c r="DY1" s="109"/>
      <c r="DZ1" s="109"/>
      <c r="EA1" s="109"/>
      <c r="EB1" s="109"/>
      <c r="EC1" s="109"/>
      <c r="ED1" s="39"/>
      <c r="EE1" s="111" t="s">
        <v>2</v>
      </c>
      <c r="EF1" s="111"/>
      <c r="EG1" s="111"/>
      <c r="EH1" s="111"/>
      <c r="EI1" s="111"/>
      <c r="EJ1" s="111"/>
      <c r="EK1" s="111"/>
      <c r="EL1" s="111"/>
      <c r="EM1" s="109"/>
      <c r="EN1" s="109"/>
      <c r="EO1" s="109"/>
      <c r="EP1" s="109"/>
      <c r="EQ1" s="109"/>
      <c r="ER1" s="109"/>
      <c r="ES1" s="109"/>
      <c r="ET1" s="109"/>
      <c r="EU1" s="109"/>
      <c r="EV1" s="109"/>
      <c r="EX1" s="39"/>
      <c r="EY1" s="111" t="s">
        <v>3</v>
      </c>
      <c r="EZ1" s="111"/>
      <c r="FA1" s="111"/>
      <c r="FB1" s="111"/>
      <c r="FC1" s="111"/>
      <c r="FD1" s="111"/>
      <c r="FE1" s="111"/>
      <c r="FF1" s="111"/>
      <c r="FG1" s="109"/>
      <c r="FH1" s="109"/>
      <c r="FI1" s="109"/>
      <c r="FJ1" s="109"/>
      <c r="FK1" s="109"/>
      <c r="FL1" s="109"/>
      <c r="FM1" s="109"/>
      <c r="FN1" s="109"/>
      <c r="FO1" s="40"/>
      <c r="FP1" s="111" t="s">
        <v>4</v>
      </c>
      <c r="FQ1" s="111"/>
      <c r="FR1" s="111"/>
      <c r="FS1" s="111"/>
      <c r="FT1" s="111"/>
      <c r="FU1" s="111"/>
      <c r="FV1" s="111"/>
      <c r="FW1" s="111"/>
      <c r="FX1" s="109"/>
      <c r="FY1" s="109"/>
      <c r="FZ1" s="109"/>
      <c r="GA1" s="109"/>
      <c r="GB1" s="109"/>
      <c r="GC1" s="109"/>
      <c r="GD1" s="109"/>
      <c r="GE1" s="109"/>
      <c r="GF1" s="109"/>
      <c r="GG1" s="109"/>
      <c r="GH1" s="10"/>
      <c r="GI1" s="40"/>
      <c r="GJ1" s="109" t="s">
        <v>5</v>
      </c>
      <c r="GK1" s="109"/>
      <c r="GL1" s="109"/>
      <c r="GM1" s="109"/>
      <c r="GN1" s="109"/>
      <c r="GO1" s="109"/>
      <c r="GP1" s="109"/>
      <c r="GQ1" s="109"/>
      <c r="GR1" s="109"/>
      <c r="GS1" s="109"/>
      <c r="GT1" s="109"/>
      <c r="GU1" s="109"/>
      <c r="GV1" s="109"/>
      <c r="GW1" s="109"/>
      <c r="GX1" s="109"/>
      <c r="GY1" s="109"/>
      <c r="GZ1" s="40"/>
      <c r="HA1" s="109" t="s">
        <v>6</v>
      </c>
      <c r="HB1" s="109"/>
      <c r="HC1" s="109"/>
      <c r="HD1" s="109"/>
      <c r="HE1" s="109"/>
      <c r="HF1" s="109"/>
      <c r="HG1" s="109"/>
      <c r="HH1" s="109"/>
      <c r="HI1" s="109"/>
      <c r="HJ1" s="109"/>
      <c r="HK1" s="109"/>
      <c r="HL1" s="109"/>
      <c r="HM1" s="109"/>
      <c r="HN1" s="109"/>
      <c r="HO1" s="109"/>
      <c r="HP1" s="109"/>
      <c r="HQ1" s="109"/>
      <c r="HR1" s="109"/>
      <c r="HS1" s="18"/>
      <c r="HT1" s="41"/>
      <c r="HU1" s="109" t="s">
        <v>7</v>
      </c>
      <c r="HV1" s="109"/>
      <c r="HW1" s="109"/>
      <c r="HX1" s="109"/>
      <c r="HY1" s="109"/>
      <c r="HZ1" s="109"/>
      <c r="IA1" s="109"/>
      <c r="IB1" s="109"/>
      <c r="IC1" s="109"/>
      <c r="ID1" s="109"/>
      <c r="IE1" s="109"/>
      <c r="IF1" s="109"/>
      <c r="IG1" s="109"/>
      <c r="IH1" s="109"/>
      <c r="II1" s="109"/>
      <c r="IJ1" s="61"/>
      <c r="IK1" s="109" t="s">
        <v>8</v>
      </c>
      <c r="IL1" s="109"/>
      <c r="IM1" s="109"/>
      <c r="IN1" s="109"/>
      <c r="IO1" s="109"/>
      <c r="IP1" s="109"/>
      <c r="IQ1" s="109"/>
      <c r="IR1" s="109"/>
      <c r="IS1" s="109"/>
      <c r="IT1" s="109"/>
      <c r="IU1" s="109"/>
      <c r="IV1" s="36"/>
      <c r="IW1" s="61"/>
      <c r="IX1" s="36"/>
      <c r="IY1" s="101"/>
      <c r="IZ1" s="72"/>
      <c r="JA1" s="72"/>
      <c r="JB1" s="72"/>
      <c r="JC1" s="101"/>
      <c r="JD1" s="101"/>
      <c r="JE1" s="101"/>
      <c r="JF1" s="101"/>
      <c r="JG1" s="101"/>
      <c r="JH1" s="101"/>
      <c r="JI1" s="61"/>
      <c r="JJ1" s="109" t="s">
        <v>9</v>
      </c>
      <c r="JK1" s="109"/>
      <c r="JL1" s="109"/>
      <c r="JM1" s="109"/>
      <c r="JN1" s="109"/>
      <c r="JO1" s="109"/>
      <c r="JP1" s="109"/>
      <c r="JQ1" s="109"/>
      <c r="JR1" s="109"/>
      <c r="JS1" s="109"/>
      <c r="JT1" s="109"/>
      <c r="JU1" s="36"/>
      <c r="JV1" s="61"/>
      <c r="JW1" s="36"/>
      <c r="JX1" s="61"/>
      <c r="JY1" s="109" t="s">
        <v>135</v>
      </c>
      <c r="JZ1" s="109"/>
      <c r="KA1" s="109"/>
      <c r="KB1" s="109"/>
      <c r="KC1" s="109"/>
      <c r="KD1" s="109"/>
      <c r="KE1" s="109"/>
      <c r="KF1" s="109"/>
      <c r="KG1" s="109"/>
      <c r="KH1" s="109"/>
      <c r="KI1" s="109"/>
      <c r="KJ1" s="71"/>
      <c r="KK1" s="71"/>
      <c r="KL1" s="71"/>
      <c r="KM1" s="71"/>
      <c r="KN1" s="109" t="s">
        <v>10</v>
      </c>
      <c r="KO1" s="109"/>
      <c r="KP1" s="109"/>
      <c r="KQ1" s="109"/>
      <c r="KR1" s="109"/>
      <c r="KS1" s="109"/>
      <c r="KT1" s="109"/>
      <c r="KU1" s="109"/>
      <c r="KV1" s="109"/>
      <c r="KW1" s="109"/>
      <c r="KX1" s="109"/>
      <c r="KY1" s="36"/>
      <c r="KZ1" s="61"/>
      <c r="LA1" s="36"/>
      <c r="LB1" s="61"/>
      <c r="LC1" s="109" t="s">
        <v>11</v>
      </c>
      <c r="LD1" s="109"/>
      <c r="LE1" s="109"/>
      <c r="LF1" s="109"/>
      <c r="LG1" s="109"/>
      <c r="LH1" s="109"/>
      <c r="LI1" s="109"/>
      <c r="LJ1" s="109"/>
      <c r="LK1" s="109"/>
      <c r="LL1" s="109"/>
      <c r="LM1" s="109"/>
      <c r="LN1" s="36"/>
      <c r="LO1" s="61"/>
      <c r="LP1" s="36"/>
      <c r="LQ1" s="61"/>
      <c r="LR1" s="109" t="s">
        <v>12</v>
      </c>
      <c r="LS1" s="109"/>
      <c r="LT1" s="109"/>
      <c r="LU1" s="109"/>
      <c r="LV1" s="109"/>
      <c r="LW1" s="109"/>
      <c r="LX1" s="109"/>
      <c r="LY1" s="109"/>
      <c r="LZ1" s="109"/>
      <c r="MA1" s="109"/>
      <c r="MB1" s="109"/>
      <c r="MC1" s="36"/>
      <c r="MD1" s="61"/>
      <c r="ME1" s="36"/>
      <c r="MF1" s="61"/>
      <c r="MG1" s="109" t="s">
        <v>35</v>
      </c>
      <c r="MH1" s="109"/>
      <c r="MI1" s="109"/>
      <c r="MJ1" s="109"/>
      <c r="MK1" s="109"/>
      <c r="ML1" s="109"/>
      <c r="MM1" s="109"/>
      <c r="MN1" s="109"/>
      <c r="MO1" s="109"/>
      <c r="MP1" s="109"/>
      <c r="MQ1" s="109"/>
      <c r="MR1" s="36"/>
      <c r="MS1" s="61"/>
      <c r="MT1" s="36"/>
      <c r="MU1" s="61"/>
      <c r="MV1" s="109" t="s">
        <v>33</v>
      </c>
      <c r="MW1" s="109"/>
      <c r="MX1" s="109"/>
      <c r="MY1" s="109"/>
      <c r="MZ1" s="109"/>
      <c r="NA1" s="109"/>
      <c r="NB1" s="109"/>
      <c r="NC1" s="109"/>
      <c r="ND1" s="109"/>
      <c r="NE1" s="109"/>
      <c r="NF1" s="109"/>
      <c r="NG1" s="36"/>
      <c r="NH1" s="61"/>
      <c r="NI1" s="36"/>
      <c r="NJ1" s="61"/>
      <c r="NK1" s="109" t="s">
        <v>36</v>
      </c>
      <c r="NL1" s="109"/>
      <c r="NM1" s="109"/>
      <c r="NN1" s="109"/>
      <c r="NO1" s="109"/>
      <c r="NP1" s="109"/>
      <c r="NQ1" s="109"/>
      <c r="NR1" s="109"/>
      <c r="NS1" s="109"/>
      <c r="NT1" s="36"/>
      <c r="NU1" s="61"/>
      <c r="NV1" s="36"/>
      <c r="NW1" s="67"/>
      <c r="NX1" s="19"/>
      <c r="NY1" s="19"/>
      <c r="NZ1" s="19"/>
      <c r="OA1" s="61"/>
      <c r="OB1" s="109" t="s">
        <v>27</v>
      </c>
      <c r="OC1" s="109"/>
      <c r="OD1" s="109"/>
      <c r="OE1" s="109"/>
      <c r="OF1" s="109"/>
      <c r="OG1" s="109"/>
      <c r="OH1" s="109"/>
      <c r="OI1" s="109"/>
      <c r="OJ1" s="109"/>
      <c r="OK1" s="109"/>
      <c r="OL1" s="109"/>
      <c r="OM1" s="36"/>
      <c r="ON1" s="61"/>
      <c r="OO1" s="36"/>
      <c r="OP1" s="61"/>
      <c r="OQ1" s="112" t="s">
        <v>28</v>
      </c>
      <c r="OR1" s="112"/>
      <c r="OS1" s="112"/>
      <c r="OT1" s="112"/>
      <c r="OU1" s="112"/>
      <c r="OV1" s="112"/>
      <c r="OW1" s="112"/>
      <c r="OX1" s="112"/>
      <c r="OY1" s="112"/>
      <c r="OZ1" s="112"/>
      <c r="PA1" s="112"/>
      <c r="PB1" s="35"/>
      <c r="PC1" s="60"/>
      <c r="PD1" s="35"/>
      <c r="PE1" s="80"/>
      <c r="PF1" s="80"/>
      <c r="PG1" s="76"/>
      <c r="PH1" s="75"/>
      <c r="PI1" s="84"/>
      <c r="PJ1" s="75"/>
      <c r="PK1" s="80"/>
      <c r="PL1" s="80"/>
      <c r="PM1" s="75"/>
      <c r="PN1" s="75"/>
      <c r="PO1" s="75"/>
      <c r="PP1" s="60"/>
      <c r="PQ1" s="75"/>
      <c r="PR1" s="75"/>
      <c r="PS1" s="75"/>
      <c r="PT1" s="80"/>
      <c r="PU1" s="75"/>
      <c r="PV1" s="112" t="s">
        <v>93</v>
      </c>
      <c r="PW1" s="112"/>
      <c r="PX1" s="112"/>
      <c r="PY1" s="112"/>
      <c r="PZ1" s="112"/>
      <c r="QA1" s="112"/>
      <c r="QB1" s="112"/>
      <c r="QC1" s="112"/>
      <c r="QD1" s="112"/>
      <c r="QE1" s="112"/>
      <c r="QF1" s="112"/>
      <c r="QG1" s="112"/>
      <c r="QH1" s="112"/>
      <c r="QI1" s="112"/>
    </row>
    <row r="2" spans="1:451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469</v>
      </c>
      <c r="IZ2" s="2" t="s">
        <v>136</v>
      </c>
      <c r="JA2" s="2" t="s">
        <v>137</v>
      </c>
      <c r="JB2" s="7" t="s">
        <v>138</v>
      </c>
      <c r="JC2" t="s">
        <v>459</v>
      </c>
      <c r="JD2" t="s">
        <v>460</v>
      </c>
      <c r="JE2" t="s">
        <v>461</v>
      </c>
      <c r="JF2"/>
      <c r="JG2" s="7"/>
      <c r="JH2" s="7"/>
      <c r="JI2" s="2"/>
      <c r="JJ2" s="8" t="s">
        <v>13</v>
      </c>
      <c r="JK2" s="8" t="s">
        <v>58</v>
      </c>
      <c r="JL2" s="53" t="s">
        <v>114</v>
      </c>
      <c r="JM2" s="28" t="s">
        <v>17</v>
      </c>
      <c r="JN2" s="28" t="s">
        <v>72</v>
      </c>
      <c r="JO2" s="52" t="s">
        <v>114</v>
      </c>
      <c r="JP2" s="28" t="s">
        <v>57</v>
      </c>
      <c r="JQ2" s="52" t="s">
        <v>114</v>
      </c>
      <c r="JR2" s="1" t="s">
        <v>14</v>
      </c>
      <c r="JS2" s="50" t="s">
        <v>114</v>
      </c>
      <c r="JT2" s="1" t="s">
        <v>15</v>
      </c>
      <c r="JU2" s="32" t="s">
        <v>16</v>
      </c>
      <c r="JV2" s="50" t="s">
        <v>114</v>
      </c>
      <c r="JW2" s="2" t="s">
        <v>16</v>
      </c>
      <c r="JX2" s="2"/>
      <c r="JY2" s="8" t="s">
        <v>13</v>
      </c>
      <c r="JZ2" s="8" t="s">
        <v>58</v>
      </c>
      <c r="KA2" s="53" t="s">
        <v>114</v>
      </c>
      <c r="KB2" s="28" t="s">
        <v>17</v>
      </c>
      <c r="KC2" s="28" t="s">
        <v>72</v>
      </c>
      <c r="KD2" s="52" t="s">
        <v>114</v>
      </c>
      <c r="KE2" s="28" t="s">
        <v>57</v>
      </c>
      <c r="KF2" s="52" t="s">
        <v>114</v>
      </c>
      <c r="KG2" s="1" t="s">
        <v>14</v>
      </c>
      <c r="KH2" s="50" t="s">
        <v>114</v>
      </c>
      <c r="KI2" s="1" t="s">
        <v>15</v>
      </c>
      <c r="KJ2" s="32" t="s">
        <v>16</v>
      </c>
      <c r="KK2" s="50" t="s">
        <v>114</v>
      </c>
      <c r="KL2" s="2" t="s">
        <v>16</v>
      </c>
      <c r="KM2" s="2"/>
      <c r="KN2" s="8" t="s">
        <v>13</v>
      </c>
      <c r="KO2" s="8" t="s">
        <v>58</v>
      </c>
      <c r="KP2" s="53" t="s">
        <v>114</v>
      </c>
      <c r="KQ2" s="28" t="s">
        <v>17</v>
      </c>
      <c r="KR2" s="28" t="s">
        <v>72</v>
      </c>
      <c r="KS2" s="52" t="s">
        <v>114</v>
      </c>
      <c r="KT2" s="28" t="s">
        <v>57</v>
      </c>
      <c r="KU2" s="52" t="s">
        <v>114</v>
      </c>
      <c r="KV2" s="1" t="s">
        <v>14</v>
      </c>
      <c r="KW2" s="50" t="s">
        <v>114</v>
      </c>
      <c r="KX2" s="1" t="s">
        <v>15</v>
      </c>
      <c r="KY2" s="32" t="s">
        <v>16</v>
      </c>
      <c r="KZ2" s="50" t="s">
        <v>114</v>
      </c>
      <c r="LA2" s="2" t="s">
        <v>16</v>
      </c>
      <c r="LB2" s="2"/>
      <c r="LC2" s="8" t="s">
        <v>13</v>
      </c>
      <c r="LD2" s="8" t="s">
        <v>58</v>
      </c>
      <c r="LE2" s="53" t="s">
        <v>114</v>
      </c>
      <c r="LF2" s="28" t="s">
        <v>17</v>
      </c>
      <c r="LG2" s="28" t="s">
        <v>72</v>
      </c>
      <c r="LH2" s="52" t="s">
        <v>114</v>
      </c>
      <c r="LI2" s="28" t="s">
        <v>57</v>
      </c>
      <c r="LJ2" s="52" t="s">
        <v>114</v>
      </c>
      <c r="LK2" s="1" t="s">
        <v>14</v>
      </c>
      <c r="LL2" s="50" t="s">
        <v>114</v>
      </c>
      <c r="LM2" s="1" t="s">
        <v>15</v>
      </c>
      <c r="LN2" s="32" t="s">
        <v>16</v>
      </c>
      <c r="LO2" s="50" t="s">
        <v>114</v>
      </c>
      <c r="LP2" s="2" t="s">
        <v>16</v>
      </c>
      <c r="LQ2" s="2"/>
      <c r="LR2" s="8" t="s">
        <v>13</v>
      </c>
      <c r="LS2" s="8" t="s">
        <v>58</v>
      </c>
      <c r="LT2" s="53" t="s">
        <v>114</v>
      </c>
      <c r="LU2" s="28" t="s">
        <v>17</v>
      </c>
      <c r="LV2" s="28" t="s">
        <v>72</v>
      </c>
      <c r="LW2" s="52" t="s">
        <v>114</v>
      </c>
      <c r="LX2" s="28" t="s">
        <v>57</v>
      </c>
      <c r="LY2" s="52" t="s">
        <v>114</v>
      </c>
      <c r="LZ2" s="1" t="s">
        <v>14</v>
      </c>
      <c r="MA2" s="50" t="s">
        <v>114</v>
      </c>
      <c r="MB2" s="1" t="s">
        <v>15</v>
      </c>
      <c r="MC2" s="32" t="s">
        <v>16</v>
      </c>
      <c r="MD2" s="50" t="s">
        <v>114</v>
      </c>
      <c r="ME2" s="2" t="s">
        <v>16</v>
      </c>
      <c r="MF2" s="2"/>
      <c r="MG2" s="8" t="s">
        <v>13</v>
      </c>
      <c r="MH2" s="8" t="s">
        <v>58</v>
      </c>
      <c r="MI2" s="53" t="s">
        <v>114</v>
      </c>
      <c r="MJ2" s="28" t="s">
        <v>17</v>
      </c>
      <c r="MK2" s="28" t="s">
        <v>72</v>
      </c>
      <c r="ML2" s="52" t="s">
        <v>114</v>
      </c>
      <c r="MM2" s="28" t="s">
        <v>57</v>
      </c>
      <c r="MN2" s="52" t="s">
        <v>114</v>
      </c>
      <c r="MO2" s="1" t="s">
        <v>14</v>
      </c>
      <c r="MP2" s="50" t="s">
        <v>114</v>
      </c>
      <c r="MQ2" s="1" t="s">
        <v>15</v>
      </c>
      <c r="MR2" s="32" t="s">
        <v>16</v>
      </c>
      <c r="MS2" s="50" t="s">
        <v>114</v>
      </c>
      <c r="MT2" s="2" t="s">
        <v>16</v>
      </c>
      <c r="MU2" s="2"/>
      <c r="MV2" s="8" t="s">
        <v>13</v>
      </c>
      <c r="MW2" s="8" t="s">
        <v>58</v>
      </c>
      <c r="MX2" s="53" t="s">
        <v>114</v>
      </c>
      <c r="MY2" s="28" t="s">
        <v>17</v>
      </c>
      <c r="MZ2" s="28" t="s">
        <v>72</v>
      </c>
      <c r="NA2" s="52" t="s">
        <v>114</v>
      </c>
      <c r="NB2" s="28" t="s">
        <v>57</v>
      </c>
      <c r="NC2" s="52" t="s">
        <v>114</v>
      </c>
      <c r="ND2" s="1" t="s">
        <v>14</v>
      </c>
      <c r="NE2" s="50" t="s">
        <v>114</v>
      </c>
      <c r="NF2" s="1" t="s">
        <v>15</v>
      </c>
      <c r="NG2" s="32" t="s">
        <v>16</v>
      </c>
      <c r="NH2" s="50" t="s">
        <v>114</v>
      </c>
      <c r="NI2" s="2" t="s">
        <v>16</v>
      </c>
      <c r="NJ2" s="2"/>
      <c r="NK2" s="8" t="s">
        <v>13</v>
      </c>
      <c r="NL2" s="8" t="s">
        <v>58</v>
      </c>
      <c r="NM2" s="53" t="s">
        <v>114</v>
      </c>
      <c r="NN2" s="28" t="s">
        <v>17</v>
      </c>
      <c r="NO2" s="28" t="s">
        <v>72</v>
      </c>
      <c r="NP2" s="52" t="s">
        <v>114</v>
      </c>
      <c r="NQ2" s="1" t="s">
        <v>14</v>
      </c>
      <c r="NR2" s="50" t="s">
        <v>114</v>
      </c>
      <c r="NS2" s="1" t="s">
        <v>15</v>
      </c>
      <c r="NT2" s="32" t="s">
        <v>16</v>
      </c>
      <c r="NU2" s="50" t="s">
        <v>114</v>
      </c>
      <c r="NV2" s="2" t="s">
        <v>16</v>
      </c>
      <c r="NW2" s="50" t="s">
        <v>114</v>
      </c>
      <c r="NX2" s="3" t="s">
        <v>80</v>
      </c>
      <c r="NY2" s="3" t="s">
        <v>81</v>
      </c>
      <c r="NZ2" s="3" t="s">
        <v>79</v>
      </c>
      <c r="OA2" s="3"/>
      <c r="OB2" s="8" t="s">
        <v>13</v>
      </c>
      <c r="OC2" s="8" t="s">
        <v>58</v>
      </c>
      <c r="OD2" s="53" t="s">
        <v>114</v>
      </c>
      <c r="OE2" s="28" t="s">
        <v>17</v>
      </c>
      <c r="OF2" s="28" t="s">
        <v>72</v>
      </c>
      <c r="OG2" s="52" t="s">
        <v>114</v>
      </c>
      <c r="OH2" s="28" t="s">
        <v>57</v>
      </c>
      <c r="OI2" s="52" t="s">
        <v>114</v>
      </c>
      <c r="OJ2" s="1" t="s">
        <v>14</v>
      </c>
      <c r="OK2" s="50" t="s">
        <v>114</v>
      </c>
      <c r="OL2" s="1" t="s">
        <v>15</v>
      </c>
      <c r="OM2" s="32" t="s">
        <v>16</v>
      </c>
      <c r="ON2" s="50" t="s">
        <v>114</v>
      </c>
      <c r="OO2" s="2" t="s">
        <v>16</v>
      </c>
      <c r="OP2" s="2"/>
      <c r="OQ2" s="8" t="s">
        <v>13</v>
      </c>
      <c r="OR2" s="8" t="s">
        <v>58</v>
      </c>
      <c r="OS2" s="53" t="s">
        <v>114</v>
      </c>
      <c r="OT2" s="28" t="s">
        <v>17</v>
      </c>
      <c r="OU2" s="28" t="s">
        <v>72</v>
      </c>
      <c r="OV2" s="52" t="s">
        <v>114</v>
      </c>
      <c r="OW2" s="28" t="s">
        <v>57</v>
      </c>
      <c r="OX2" s="52" t="s">
        <v>114</v>
      </c>
      <c r="OY2" s="1" t="s">
        <v>14</v>
      </c>
      <c r="OZ2" s="50" t="s">
        <v>114</v>
      </c>
      <c r="PA2" s="1" t="s">
        <v>15</v>
      </c>
      <c r="PB2" s="32" t="s">
        <v>16</v>
      </c>
      <c r="PC2" s="50" t="s">
        <v>114</v>
      </c>
      <c r="PD2" s="2" t="s">
        <v>16</v>
      </c>
      <c r="PE2" s="81" t="s">
        <v>261</v>
      </c>
      <c r="PF2" s="81" t="s">
        <v>262</v>
      </c>
      <c r="PG2" s="77" t="s">
        <v>227</v>
      </c>
      <c r="PH2" s="2" t="s">
        <v>227</v>
      </c>
      <c r="PI2" s="50" t="s">
        <v>114</v>
      </c>
      <c r="PJ2" s="7" t="s">
        <v>228</v>
      </c>
      <c r="PK2" s="81" t="s">
        <v>229</v>
      </c>
      <c r="PL2" s="81" t="s">
        <v>230</v>
      </c>
      <c r="PM2" s="7" t="s">
        <v>231</v>
      </c>
      <c r="PN2" s="2" t="s">
        <v>232</v>
      </c>
      <c r="PO2" s="2" t="s">
        <v>232</v>
      </c>
      <c r="PP2" s="50" t="s">
        <v>114</v>
      </c>
      <c r="PQ2" s="7" t="s">
        <v>263</v>
      </c>
      <c r="PR2" s="81" t="s">
        <v>264</v>
      </c>
      <c r="PS2" s="81" t="s">
        <v>265</v>
      </c>
      <c r="PT2" s="85" t="s">
        <v>266</v>
      </c>
      <c r="PU2" s="7"/>
      <c r="PV2" s="5" t="s">
        <v>13</v>
      </c>
      <c r="PW2" s="5" t="s">
        <v>58</v>
      </c>
      <c r="PX2" s="5" t="s">
        <v>114</v>
      </c>
      <c r="PY2" s="25" t="s">
        <v>17</v>
      </c>
      <c r="PZ2" s="28" t="s">
        <v>72</v>
      </c>
      <c r="QA2" s="8" t="s">
        <v>114</v>
      </c>
      <c r="QB2" s="28" t="s">
        <v>57</v>
      </c>
      <c r="QC2" s="8" t="s">
        <v>114</v>
      </c>
      <c r="QD2" s="1" t="s">
        <v>14</v>
      </c>
      <c r="QE2" s="5" t="s">
        <v>114</v>
      </c>
      <c r="QF2" s="1" t="s">
        <v>15</v>
      </c>
      <c r="QG2" s="32" t="s">
        <v>16</v>
      </c>
      <c r="QH2" s="100" t="s">
        <v>114</v>
      </c>
      <c r="QI2" s="2" t="s">
        <v>16</v>
      </c>
    </row>
    <row r="3" spans="1:451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-AC3+E3+AJ3*DR3+AL3*EI3+AN3*FC3+AP3*FT3+AR3*GN3+AT3*HE3+AV3*HY3+AX3*IO3+AZ3*JN3+BD3*KR3+BF3*LG3+BH3*LV3+BJ3*MK3+BL3*MZ3+BP3*NO3+BR3*OF3+BT3*OU3+BV3*#REF!+BX3*#REF!+BZ3*PZ3+#REF!*#REF!+#REF!*#REF!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25">
        <v>0</v>
      </c>
      <c r="JC3" s="25">
        <v>0</v>
      </c>
      <c r="JD3" s="25">
        <v>0</v>
      </c>
      <c r="JE3" s="25">
        <v>0</v>
      </c>
      <c r="JF3" s="25"/>
      <c r="JG3" s="25"/>
      <c r="JH3" s="25"/>
      <c r="JI3" s="7"/>
      <c r="JJ3" s="5">
        <v>0</v>
      </c>
      <c r="JK3" s="5">
        <v>0</v>
      </c>
      <c r="JL3" s="47">
        <v>1</v>
      </c>
      <c r="JM3" s="25">
        <f>IF(JK3,baseBetterNumbers(JL3*$CY3),IF(JJ3,JM2,0))</f>
        <v>0</v>
      </c>
      <c r="JN3" s="25">
        <f>JM3</f>
        <v>0</v>
      </c>
      <c r="JO3" s="47">
        <v>2</v>
      </c>
      <c r="JP3" s="25">
        <f>IF(JK3,baseBetterNumbers(JO3*$DB3),IF(JJ3,JP2,0))</f>
        <v>0</v>
      </c>
      <c r="JQ3" s="47">
        <v>2.5</v>
      </c>
      <c r="JR3" s="25">
        <f>IF(JK3,baseBetterNumbers(JQ3*$DD3),IF(JJ3,JR2,0))</f>
        <v>0</v>
      </c>
      <c r="JS3" s="2">
        <v>2.5</v>
      </c>
      <c r="JT3" s="25">
        <f>IF(JK3,baseBetterNumbers(JS3*$DG3),IF(JJ3,JT2,0))</f>
        <v>0</v>
      </c>
      <c r="JU3" s="33" t="str">
        <f>secToTime(JW3)</f>
        <v>0h 0m</v>
      </c>
      <c r="JV3" s="46">
        <v>1</v>
      </c>
      <c r="JW3" s="25">
        <f>IF(JK3,baseBetterNumbers(JV3*$DK3),IF(JJ3,JW2,0))</f>
        <v>0</v>
      </c>
      <c r="JX3" s="7"/>
      <c r="JY3" s="5">
        <v>0</v>
      </c>
      <c r="JZ3" s="5">
        <v>0</v>
      </c>
      <c r="KA3" s="47">
        <v>1</v>
      </c>
      <c r="KB3" s="25">
        <f>IF(JZ3,baseBetterNumbers(KA3*$CY3),IF(JY3,KB2,0))</f>
        <v>0</v>
      </c>
      <c r="KC3" s="25">
        <f>KB3</f>
        <v>0</v>
      </c>
      <c r="KD3" s="47">
        <v>1</v>
      </c>
      <c r="KE3" s="25">
        <f>IF(JZ3,baseBetterNumbers(KD3*$DB3),IF(JY3,KE2,0))</f>
        <v>0</v>
      </c>
      <c r="KF3" s="47">
        <v>1.5</v>
      </c>
      <c r="KG3" s="25">
        <f>IF(JZ3,baseBetterNumbers(KF3*$DD3),IF(JY3,KG2,0))</f>
        <v>0</v>
      </c>
      <c r="KH3" s="2">
        <v>1.5</v>
      </c>
      <c r="KI3" s="25">
        <f>IF(JZ3,baseBetterNumbers(KH3*$DG3),IF(JY3,KI2,0))</f>
        <v>0</v>
      </c>
      <c r="KJ3" s="33" t="str">
        <f>secToTime(KL3)</f>
        <v>0h 0m</v>
      </c>
      <c r="KK3" s="46">
        <v>1</v>
      </c>
      <c r="KL3" s="25">
        <f>IF(JZ3,baseBetterNumbers(KK3*$DK3),IF(JY3,KL2,0))</f>
        <v>0</v>
      </c>
      <c r="KM3" s="7"/>
      <c r="KN3" s="5">
        <v>1</v>
      </c>
      <c r="KO3" s="5">
        <v>1</v>
      </c>
      <c r="KP3" s="47">
        <v>1</v>
      </c>
      <c r="KQ3" s="25">
        <f>IF(KO3,baseBetterNumbers(KP3*$CY3),IF(KN3-1,KQ2,0))</f>
        <v>2</v>
      </c>
      <c r="KR3" s="25">
        <f>KQ3</f>
        <v>2</v>
      </c>
      <c r="KS3" s="47">
        <v>1</v>
      </c>
      <c r="KT3" s="25">
        <f>IF(KO3,baseBetterNumbers(KS3*$DB3),IF(KN3-1,KT2,0))</f>
        <v>3</v>
      </c>
      <c r="KU3" s="47">
        <v>1.5</v>
      </c>
      <c r="KV3" s="25">
        <f>IF(KO3,baseBetterNumbers(KU3*$DD3),IF(KN3-1,KV2,0))</f>
        <v>150</v>
      </c>
      <c r="KW3" s="2">
        <v>1.5</v>
      </c>
      <c r="KX3" s="25">
        <f>IF(KO3,baseBetterNumbers(KW3*$DG3),IF(KN3-1,KX2,0))</f>
        <v>0</v>
      </c>
      <c r="KY3" s="33" t="str">
        <f>secToTime(LA3)</f>
        <v>0h 1m</v>
      </c>
      <c r="KZ3" s="46">
        <v>1</v>
      </c>
      <c r="LA3" s="25">
        <f>IF(KO3,baseBetterNumbers(KZ3*$DK3),IF(KN3-1,LA2,0))</f>
        <v>60</v>
      </c>
      <c r="LB3" s="7"/>
      <c r="LC3" s="5">
        <v>0</v>
      </c>
      <c r="LD3" s="5">
        <v>0</v>
      </c>
      <c r="LE3" s="47">
        <v>1</v>
      </c>
      <c r="LF3" s="25">
        <f>IF(LD3,baseBetterNumbers(LE3*$CY3),IF(LC3,LF2,0))</f>
        <v>0</v>
      </c>
      <c r="LG3" s="25">
        <f>LF3</f>
        <v>0</v>
      </c>
      <c r="LH3" s="47">
        <v>1</v>
      </c>
      <c r="LI3" s="25">
        <f>IF(LD3,baseBetterNumbers(LH3*$DB3),IF(LC3,LI2,0))</f>
        <v>0</v>
      </c>
      <c r="LJ3" s="47">
        <v>1.5</v>
      </c>
      <c r="LK3" s="25">
        <f>IF(LD3,baseBetterNumbers(LJ3*$DD3),IF(LC3,LK2,0))</f>
        <v>0</v>
      </c>
      <c r="LL3" s="2">
        <v>1.5</v>
      </c>
      <c r="LM3" s="25">
        <f>IF(LD3,baseBetterNumbers(LL3*$DG3),IF(LC3,LM2,0))</f>
        <v>0</v>
      </c>
      <c r="LN3" s="33" t="str">
        <f>secToTime(LP3)</f>
        <v>0h 0m</v>
      </c>
      <c r="LO3" s="46">
        <v>1</v>
      </c>
      <c r="LP3" s="25">
        <f>IF(LD3,baseBetterNumbers(LO3*$DK3),IF(LC3,LP2,0))</f>
        <v>0</v>
      </c>
      <c r="LQ3" s="7"/>
      <c r="LR3" s="5">
        <v>0</v>
      </c>
      <c r="LS3" s="5">
        <v>0</v>
      </c>
      <c r="LT3" s="47">
        <v>1</v>
      </c>
      <c r="LU3" s="25">
        <f>IF(LS3,baseBetterNumbers(LT3*$CY3),IF(LR3,LU2,0))</f>
        <v>0</v>
      </c>
      <c r="LV3" s="25">
        <f>LU3</f>
        <v>0</v>
      </c>
      <c r="LW3" s="47">
        <v>1</v>
      </c>
      <c r="LX3" s="25">
        <f>IF(LS3,baseBetterNumbers(LW3*$DB3),IF(LR3,LX2,0))</f>
        <v>0</v>
      </c>
      <c r="LY3" s="47">
        <v>1.5</v>
      </c>
      <c r="LZ3" s="25">
        <f>IF(LS3,baseBetterNumbers(LY3*$DD3),IF(LR3,LZ2,0))</f>
        <v>0</v>
      </c>
      <c r="MA3" s="2">
        <v>1.5</v>
      </c>
      <c r="MB3" s="25">
        <f>IF(LS3,baseBetterNumbers(MA3*$DG3),IF(LR3,MB2,0))</f>
        <v>0</v>
      </c>
      <c r="MC3" s="33" t="str">
        <f>secToTime(ME3)</f>
        <v>0h 0m</v>
      </c>
      <c r="MD3" s="46">
        <v>1</v>
      </c>
      <c r="ME3" s="25">
        <f>IF(LS3,baseBetterNumbers(MD3*$DK3),IF(LR3,ME2,0))</f>
        <v>0</v>
      </c>
      <c r="MF3" s="7"/>
      <c r="MG3" s="5">
        <v>0</v>
      </c>
      <c r="MH3" s="5">
        <v>0</v>
      </c>
      <c r="MI3" s="47">
        <v>1</v>
      </c>
      <c r="MJ3" s="25">
        <f>IF(MH3,baseBetterNumbers(MI3*$CY3),IF(MG3,MJ2,0))</f>
        <v>0</v>
      </c>
      <c r="MK3" s="25">
        <f>MJ3</f>
        <v>0</v>
      </c>
      <c r="ML3" s="47">
        <v>1</v>
      </c>
      <c r="MM3" s="25">
        <f>IF(MH3,baseBetterNumbers(ML3*$DB3),IF(MG3,MM2,0))</f>
        <v>0</v>
      </c>
      <c r="MN3" s="47">
        <v>1.5</v>
      </c>
      <c r="MO3" s="25">
        <f>IF(MH3,baseBetterNumbers(MN3*$DD3),IF(MG3,MO2,0))</f>
        <v>0</v>
      </c>
      <c r="MP3" s="2">
        <v>1.5</v>
      </c>
      <c r="MQ3" s="25">
        <f>IF(MH3,baseBetterNumbers(MP3*$DG3),IF(MG3,MQ2,0))</f>
        <v>0</v>
      </c>
      <c r="MR3" s="33" t="str">
        <f>secToTime(MT3)</f>
        <v>0h 0m</v>
      </c>
      <c r="MS3" s="46">
        <v>1</v>
      </c>
      <c r="MT3" s="25">
        <f>IF(MH3,baseBetterNumbers(MS3*$DK3),IF(MG3,MT2,0))</f>
        <v>0</v>
      </c>
      <c r="MU3" s="7"/>
      <c r="MV3" s="5">
        <v>0</v>
      </c>
      <c r="MW3" s="5">
        <v>0</v>
      </c>
      <c r="MX3" s="47">
        <v>1</v>
      </c>
      <c r="MY3" s="25">
        <f>IF(MW3,baseBetterNumbers(MX3*$CY3),IF(MV3,MY2,0))</f>
        <v>0</v>
      </c>
      <c r="MZ3" s="25">
        <f>MY3</f>
        <v>0</v>
      </c>
      <c r="NA3" s="47">
        <v>1</v>
      </c>
      <c r="NB3" s="25">
        <f>IF(MW3,baseBetterNumbers(NA3*$DB3),IF(MV3,NB2,0))</f>
        <v>0</v>
      </c>
      <c r="NC3" s="47">
        <v>1.5</v>
      </c>
      <c r="ND3" s="25">
        <f>IF(MW3,baseBetterNumbers(NC3*$DD3),IF(MV3,ND2,0))</f>
        <v>0</v>
      </c>
      <c r="NE3" s="2">
        <v>1.5</v>
      </c>
      <c r="NF3" s="25">
        <f>IF(MW3,baseBetterNumbers(NE3*$DG3),IF(MV3,NF2,0))</f>
        <v>0</v>
      </c>
      <c r="NG3" s="33" t="str">
        <f>secToTime(NI3)</f>
        <v>0h 0m</v>
      </c>
      <c r="NH3" s="46">
        <v>1</v>
      </c>
      <c r="NI3" s="25">
        <f>IF(MW3,baseBetterNumbers(NH3*$DK3),IF(MV3,NI2,0))</f>
        <v>0</v>
      </c>
      <c r="NJ3" s="7"/>
      <c r="NK3" s="5">
        <v>0</v>
      </c>
      <c r="NL3" s="5">
        <v>0</v>
      </c>
      <c r="NM3" s="47">
        <v>1</v>
      </c>
      <c r="NN3" s="25">
        <f>IF(NL3,baseBetterNumbers(NM3*$CY3),IF(NK3,NN2,0))</f>
        <v>0</v>
      </c>
      <c r="NO3" s="25">
        <f>NN3</f>
        <v>0</v>
      </c>
      <c r="NP3" s="47">
        <v>1.5</v>
      </c>
      <c r="NQ3" s="25">
        <f>IF(NL3,baseBetterNumbers(NP3*$DD3),IF(NK3,NQ2,0))</f>
        <v>0</v>
      </c>
      <c r="NR3" s="2">
        <v>1.5</v>
      </c>
      <c r="NS3" s="25">
        <f>IF(NL3,baseBetterNumbers(NR3*$DG3),IF(NK3,NS2,0))</f>
        <v>0</v>
      </c>
      <c r="NT3" s="33" t="str">
        <f>secToTime(NV3)</f>
        <v>0h 0m</v>
      </c>
      <c r="NU3" s="46">
        <v>1</v>
      </c>
      <c r="NV3" s="25">
        <f>IF(NL3,baseBetterNumbers(NU3*$DK3),IF(NK3,NV2,0))</f>
        <v>0</v>
      </c>
      <c r="NW3" s="47"/>
      <c r="NX3" s="1">
        <v>0</v>
      </c>
      <c r="NZ3" s="1" t="e">
        <f>G3+AJ3*DT3+AL3*EK3+AN3*FE3+AP3*FV3+AR3*GP3+AT3*HG3+AV3*IA3+AX3*IQ3+AZ3*JP3+BD3*KT3+BF3*LI3+BH3*LX3+BJ3*MM3+BL3*NB3+BR3*OH3+BT3*OW3+BV3*#REF!+BX3*#REF!+BZ3*QB3+#REF!*#REF!+#REF!*#REF!</f>
        <v>#REF!</v>
      </c>
      <c r="OB3" s="5">
        <v>0</v>
      </c>
      <c r="OC3" s="5">
        <v>0</v>
      </c>
      <c r="OD3" s="47">
        <v>1</v>
      </c>
      <c r="OE3" s="25">
        <f>IF(OC3,baseBetterNumbers(OD3*$CY3),IF(OB3,OE2,0))</f>
        <v>0</v>
      </c>
      <c r="OF3" s="25">
        <f>OE3</f>
        <v>0</v>
      </c>
      <c r="OG3" s="47">
        <v>1</v>
      </c>
      <c r="OH3" s="25">
        <f>IF(OC3,baseBetterNumbers(OG3*$DB3),IF(OB3,OH2,0))</f>
        <v>0</v>
      </c>
      <c r="OI3" s="47">
        <v>2.5</v>
      </c>
      <c r="OJ3" s="25">
        <f>IF(OC3,baseBetterNumbers(OI3*$DD3),IF(OB3,OJ2,0))</f>
        <v>0</v>
      </c>
      <c r="OK3" s="2">
        <v>1.5</v>
      </c>
      <c r="OL3" s="25">
        <f>IF(OC3,baseBetterNumbers(OK3*$DG3),IF(OB3,OL2,0))</f>
        <v>0</v>
      </c>
      <c r="OM3" s="33" t="str">
        <f>secToTime(OO3)</f>
        <v>0h 0m</v>
      </c>
      <c r="ON3" s="46">
        <v>1</v>
      </c>
      <c r="OO3" s="25">
        <f>IF(OC3,baseBetterNumbers(ON3*$DK3),IF(OB3,OO2,0))</f>
        <v>0</v>
      </c>
      <c r="OP3" s="7"/>
      <c r="OQ3" s="5">
        <v>0</v>
      </c>
      <c r="OR3" s="5">
        <v>0</v>
      </c>
      <c r="OS3" s="47">
        <v>1</v>
      </c>
      <c r="OT3" s="25">
        <f>IF(OR3,baseBetterNumbers(OS3*$CY3),IF(OQ3,OT2,0))</f>
        <v>0</v>
      </c>
      <c r="OU3" s="25">
        <f>OT3</f>
        <v>0</v>
      </c>
      <c r="OV3" s="47">
        <v>1</v>
      </c>
      <c r="OW3" s="25">
        <f>IF(OR3,baseBetterNumbers(OV3*$DB3),IF(OQ3,OW2,0))</f>
        <v>0</v>
      </c>
      <c r="OX3" s="47">
        <v>2.5</v>
      </c>
      <c r="OY3" s="25">
        <f>IF(OR3,baseBetterNumbers(OX3*$DD3),IF(OQ3,OY2,0))</f>
        <v>0</v>
      </c>
      <c r="OZ3" s="2">
        <v>1.5</v>
      </c>
      <c r="PA3" s="25">
        <f>IF(OR3,baseBetterNumbers(OZ3*$DG3),IF(OQ3,PA2,0))</f>
        <v>0</v>
      </c>
      <c r="PB3" s="33" t="str">
        <f>secToTime(PD3)</f>
        <v>0h 0m</v>
      </c>
      <c r="PC3" s="46">
        <v>1</v>
      </c>
      <c r="PD3" s="25">
        <f>IF(OR3,baseBetterNumbers(PC3*$DK3),IF(OQ3,PD2,0))</f>
        <v>0</v>
      </c>
      <c r="PE3" s="82"/>
      <c r="PF3" s="82"/>
      <c r="PG3" s="78"/>
      <c r="PH3" s="25"/>
      <c r="PI3" s="47"/>
      <c r="PJ3" s="25"/>
      <c r="PK3" s="82"/>
      <c r="PL3" s="82"/>
      <c r="PM3" s="25"/>
      <c r="PN3" s="25"/>
      <c r="PO3" s="25"/>
      <c r="PP3" s="47"/>
      <c r="PQ3" s="25"/>
      <c r="PR3" s="82"/>
      <c r="PS3" s="82"/>
      <c r="PT3" s="82"/>
      <c r="PU3" s="25"/>
      <c r="PV3" s="5">
        <v>0</v>
      </c>
      <c r="PW3" s="5">
        <v>0</v>
      </c>
      <c r="PX3" s="5"/>
      <c r="PY3" s="25">
        <v>0</v>
      </c>
      <c r="PZ3" s="25">
        <f>PY3</f>
        <v>0</v>
      </c>
      <c r="QA3" s="25"/>
      <c r="QB3" s="25">
        <v>0</v>
      </c>
      <c r="QC3" s="25"/>
      <c r="QD3" s="1">
        <v>0</v>
      </c>
      <c r="QF3" s="1">
        <v>0</v>
      </c>
      <c r="QG3" s="33" t="str">
        <f>secToTime(QI3)</f>
        <v>0h 0m</v>
      </c>
      <c r="QH3" s="33"/>
      <c r="QI3" s="7">
        <f>cioUpTime(Conf!E$57,A3,QD3)</f>
        <v>0</v>
      </c>
    </row>
    <row r="4" spans="1:451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-AC4+E4+AJ4*DR4+AL4*EI4+AN4*FC4+AP4*FT4+AR4*GN4+AT4*HE4+AV4*HY4+AX4*IO4+AZ4*JN4+BD4*KR4+BF4*LG4+BH4*LV4+BJ4*MK4+BL4*MZ4+BP4*NO4+BR4*OF4+BT4*OU4+BV4*#REF!+BX4*#REF!+BZ4*PZ4+#REF!*#REF!+#REF!*#REF!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25">
        <v>0</v>
      </c>
      <c r="JC4" s="25">
        <f>JC3</f>
        <v>0</v>
      </c>
      <c r="JD4" s="25">
        <f>JD3</f>
        <v>0</v>
      </c>
      <c r="JE4" s="25">
        <f>JE3</f>
        <v>0</v>
      </c>
      <c r="JF4" s="25"/>
      <c r="JG4" s="25"/>
      <c r="JH4" s="25"/>
      <c r="JI4" s="7"/>
      <c r="JJ4" s="8">
        <f>IF(JK4,JJ3+1,JJ3)</f>
        <v>0</v>
      </c>
      <c r="JK4" s="5">
        <v>0</v>
      </c>
      <c r="JL4" s="47">
        <v>1</v>
      </c>
      <c r="JM4" s="25">
        <f t="shared" ref="JM4:JM17" si="83">IF(JK4,baseBetterNumbers(JL4*$CY4),IF(JJ4-1,JM3,0))</f>
        <v>0</v>
      </c>
      <c r="JN4" s="25">
        <f>IF(JK4,JM4+JN3,JN3)</f>
        <v>0</v>
      </c>
      <c r="JO4" s="47">
        <v>2</v>
      </c>
      <c r="JP4" s="25">
        <f t="shared" ref="JP4:JP17" si="84">IF(JK4,baseBetterNumbers(JO4*$DB4),IF(JJ4-1,JP3,0))</f>
        <v>0</v>
      </c>
      <c r="JQ4" s="47">
        <v>2.5</v>
      </c>
      <c r="JR4" s="25">
        <f t="shared" ref="JR4:JR17" si="85">IF(JK4,baseBetterNumbers(JQ4*$DD4),IF(JJ4-1,JR3,0))</f>
        <v>0</v>
      </c>
      <c r="JS4" s="2">
        <v>2.5</v>
      </c>
      <c r="JT4" s="25">
        <f t="shared" ref="JT4:JT17" si="86">IF(JK4,baseBetterNumbers(JS4*$DG4),IF(JJ4-1,JT3,0))</f>
        <v>0</v>
      </c>
      <c r="JU4" s="33" t="str">
        <f t="shared" ref="JU4:JU17" si="87">secToTime(JW4)</f>
        <v>0h 0m</v>
      </c>
      <c r="JV4" s="46">
        <v>2</v>
      </c>
      <c r="JW4" s="25">
        <f t="shared" ref="JW4:JW17" si="88">IF(JK4,baseBetterNumbers(JV4*$DK4),IF(JJ4-1,JW3,0))</f>
        <v>0</v>
      </c>
      <c r="JX4" s="7"/>
      <c r="JY4" s="8">
        <f t="shared" ref="JY4:JY17" si="89">IF(JZ4,JY3+1,JY3)</f>
        <v>1</v>
      </c>
      <c r="JZ4" s="5">
        <v>1</v>
      </c>
      <c r="KA4" s="47">
        <v>0</v>
      </c>
      <c r="KB4" s="25">
        <f t="shared" ref="KB4:KB17" si="90">IF(JZ4,baseBetterNumbers(KA4*$CY4),IF(JY4-1,KB3,0))</f>
        <v>0</v>
      </c>
      <c r="KC4" s="25">
        <f>IF(JZ4,KB4+KC3,KC3)</f>
        <v>0</v>
      </c>
      <c r="KD4" s="47">
        <v>0</v>
      </c>
      <c r="KE4" s="25">
        <f t="shared" ref="KE4:KE17" si="91">IF(JZ4,baseBetterNumbers(KD4*$DB4),IF(JY4-1,KE3,0))</f>
        <v>0</v>
      </c>
      <c r="KF4" s="47">
        <v>1.5</v>
      </c>
      <c r="KG4" s="25">
        <v>1000</v>
      </c>
      <c r="KH4" s="2">
        <v>1.5</v>
      </c>
      <c r="KI4" s="25">
        <f t="shared" ref="KI4:KI17" si="92">IF(JZ4,baseBetterNumbers(KH4*$DG4),IF(JY4-1,KI3,0))</f>
        <v>0</v>
      </c>
      <c r="KJ4" s="33" t="str">
        <f t="shared" ref="KJ4:KJ17" si="93">secToTime(KL4)</f>
        <v>0h 0m</v>
      </c>
      <c r="KK4" s="46">
        <v>0</v>
      </c>
      <c r="KL4" s="25">
        <f t="shared" ref="KL4:KL17" si="94">IF(JZ4,baseBetterNumbers(KK4*$DK4),IF(JY4-1,KL3,0))</f>
        <v>0</v>
      </c>
      <c r="KM4" s="7"/>
      <c r="KN4" s="8">
        <f>IF(KO4,KN3+1,KN3)</f>
        <v>2</v>
      </c>
      <c r="KO4" s="5">
        <v>1</v>
      </c>
      <c r="KP4" s="47">
        <v>1</v>
      </c>
      <c r="KQ4" s="25">
        <f t="shared" ref="KQ4:KQ17" si="95">IF(KO4,baseBetterNumbers(KP4*$CY4),IF(KN4-1,KQ3,0))</f>
        <v>9</v>
      </c>
      <c r="KR4" s="25">
        <f>IF(KO4,KQ4+KR3,KR3)</f>
        <v>11</v>
      </c>
      <c r="KS4" s="47">
        <v>1</v>
      </c>
      <c r="KT4" s="25">
        <f t="shared" ref="KT4:KT17" si="96">IF(KO4,baseBetterNumbers(KS4*$DB4),IF(KN4-1,KT3,0))</f>
        <v>4</v>
      </c>
      <c r="KU4" s="47">
        <v>1.5</v>
      </c>
      <c r="KV4" s="25">
        <f t="shared" ref="KV4:KV17" si="97">IF(KO4,baseBetterNumbers(KU4*$DD4),IF(KN4-1,KV3,0))</f>
        <v>300</v>
      </c>
      <c r="KW4" s="2">
        <v>1.5</v>
      </c>
      <c r="KX4" s="25">
        <f t="shared" ref="KX4:KX17" si="98">IF(KO4,baseBetterNumbers(KW4*$DG4),IF(KN4-1,KX3,0))</f>
        <v>0</v>
      </c>
      <c r="KY4" s="33" t="str">
        <f t="shared" ref="KY4:KY17" si="99">secToTime(LA4)</f>
        <v>0h 15m</v>
      </c>
      <c r="KZ4" s="46">
        <v>1</v>
      </c>
      <c r="LA4" s="25">
        <f t="shared" ref="LA4:LA17" si="100">IF(KO4,baseBetterNumbers(KZ4*$DK4),IF(KN4-1,LA3,0))</f>
        <v>900</v>
      </c>
      <c r="LB4" s="7"/>
      <c r="LC4" s="8">
        <f>IF(LD4,LC3+1,LC3)</f>
        <v>0</v>
      </c>
      <c r="LD4" s="5">
        <v>0</v>
      </c>
      <c r="LE4" s="47">
        <v>1</v>
      </c>
      <c r="LF4" s="25">
        <f t="shared" ref="LF4:LF17" si="101">IF(LD4,baseBetterNumbers(LE4*$CY4),IF(LC4,LF3,0))</f>
        <v>0</v>
      </c>
      <c r="LG4" s="25">
        <f>IF(LD4,LF4+LG3,LG3)</f>
        <v>0</v>
      </c>
      <c r="LH4" s="47">
        <v>1</v>
      </c>
      <c r="LI4" s="25">
        <f t="shared" ref="LI4:LI17" si="102">IF(LD4,baseBetterNumbers(LH4*$DB4),IF(LC4,LI3,0))</f>
        <v>0</v>
      </c>
      <c r="LJ4" s="47">
        <v>1.5</v>
      </c>
      <c r="LK4" s="25">
        <f t="shared" ref="LK4:LK17" si="103">IF(LD4,baseBetterNumbers(LJ4*$DD4),IF(LC4,LK3,0))</f>
        <v>0</v>
      </c>
      <c r="LL4" s="2">
        <v>1.5</v>
      </c>
      <c r="LM4" s="25">
        <f>IF(LD4,baseBetterNumbers(LL4*$DG4),IF(LC4,LM3,0))</f>
        <v>0</v>
      </c>
      <c r="LN4" s="33" t="str">
        <f t="shared" ref="LN4:LN17" si="104">secToTime(LP4)</f>
        <v>0h 0m</v>
      </c>
      <c r="LO4" s="46">
        <v>1</v>
      </c>
      <c r="LP4" s="25">
        <f t="shared" ref="LP4:LP17" si="105">IF(LD4,baseBetterNumbers(LO4*$DK4),IF(LC4,LP3,0))</f>
        <v>0</v>
      </c>
      <c r="LQ4" s="7"/>
      <c r="LR4" s="8">
        <f>IF(LS4,LR3+1,LR3)</f>
        <v>0</v>
      </c>
      <c r="LS4" s="5">
        <v>0</v>
      </c>
      <c r="LT4" s="47">
        <v>1</v>
      </c>
      <c r="LU4" s="25">
        <f t="shared" ref="LU4:LU17" si="106">IF(LS4,baseBetterNumbers(LT4*$CY4),IF(LR4,LU3,0))</f>
        <v>0</v>
      </c>
      <c r="LV4" s="25">
        <f>IF(LS4,LU4+LV3,LV3)</f>
        <v>0</v>
      </c>
      <c r="LW4" s="47">
        <v>1</v>
      </c>
      <c r="LX4" s="25">
        <f t="shared" ref="LX4:LX17" si="107">IF(LS4,baseBetterNumbers(LW4*$DB4),IF(LR4,LX3,0))</f>
        <v>0</v>
      </c>
      <c r="LY4" s="47">
        <v>1.5</v>
      </c>
      <c r="LZ4" s="25">
        <f t="shared" ref="LZ4:LZ17" si="108">IF(LS4,baseBetterNumbers(LY4*$DD4),IF(LR4,LZ3,0))</f>
        <v>0</v>
      </c>
      <c r="MA4" s="2">
        <v>1.5</v>
      </c>
      <c r="MB4" s="25">
        <f>IF(LS4,baseBetterNumbers(MA4*$DG4),IF(LR4,MB3,0))</f>
        <v>0</v>
      </c>
      <c r="MC4" s="33" t="str">
        <f t="shared" ref="MC4:MC17" si="109">secToTime(ME4)</f>
        <v>0h 0m</v>
      </c>
      <c r="MD4" s="46">
        <v>1</v>
      </c>
      <c r="ME4" s="25">
        <f t="shared" ref="ME4:ME17" si="110">IF(LS4,baseBetterNumbers(MD4*$DK4),IF(LR4,ME3,0))</f>
        <v>0</v>
      </c>
      <c r="MF4" s="7"/>
      <c r="MG4" s="8">
        <f>IF(MH4,MG3+1,MG3)</f>
        <v>0</v>
      </c>
      <c r="MH4" s="5">
        <v>0</v>
      </c>
      <c r="MI4" s="47">
        <v>1</v>
      </c>
      <c r="MJ4" s="25">
        <f t="shared" ref="MJ4:MJ17" si="111">IF(MH4,baseBetterNumbers(MI4*$CY4),IF(MG4,MJ3,0))</f>
        <v>0</v>
      </c>
      <c r="MK4" s="25">
        <f>IF(MH4,MJ4+MK3,MK3)</f>
        <v>0</v>
      </c>
      <c r="ML4" s="47">
        <v>1</v>
      </c>
      <c r="MM4" s="25">
        <f t="shared" ref="MM4:MM17" si="112">IF(MH4,baseBetterNumbers(ML4*$DB4),IF(MG4,MM3,0))</f>
        <v>0</v>
      </c>
      <c r="MN4" s="47">
        <v>1.5</v>
      </c>
      <c r="MO4" s="25">
        <f t="shared" ref="MO4:MO17" si="113">IF(MH4,baseBetterNumbers(MN4*$DD4),IF(MG4,MO3,0))</f>
        <v>0</v>
      </c>
      <c r="MP4" s="2">
        <v>1.5</v>
      </c>
      <c r="MQ4" s="25">
        <f>IF(MH4,baseBetterNumbers(MP4*$DG4),IF(MG4,MQ3,0))</f>
        <v>0</v>
      </c>
      <c r="MR4" s="33" t="str">
        <f t="shared" ref="MR4:MR17" si="114">secToTime(MT4)</f>
        <v>0h 0m</v>
      </c>
      <c r="MS4" s="46">
        <v>1</v>
      </c>
      <c r="MT4" s="25">
        <f t="shared" ref="MT4:MT17" si="115">IF(MH4,baseBetterNumbers(MS4*$DK4),IF(MG4,MT3,0))</f>
        <v>0</v>
      </c>
      <c r="MU4" s="7"/>
      <c r="MV4" s="8">
        <f>IF(MW4,MV3+1,MV3)</f>
        <v>0</v>
      </c>
      <c r="MW4" s="5">
        <v>0</v>
      </c>
      <c r="MX4" s="47">
        <v>1</v>
      </c>
      <c r="MY4" s="25">
        <f t="shared" ref="MY4:MY17" si="116">IF(MW4,baseBetterNumbers(MX4*$CY4),IF(MV4,MY3,0))</f>
        <v>0</v>
      </c>
      <c r="MZ4" s="25">
        <f>IF(MW4,MY4+MZ3,MZ3)</f>
        <v>0</v>
      </c>
      <c r="NA4" s="47">
        <v>1</v>
      </c>
      <c r="NB4" s="25">
        <f t="shared" ref="NB4:NB17" si="117">IF(MW4,baseBetterNumbers(NA4*$DB4),IF(MV4,NB3,0))</f>
        <v>0</v>
      </c>
      <c r="NC4" s="47">
        <v>1.5</v>
      </c>
      <c r="ND4" s="25">
        <f t="shared" ref="ND4:ND17" si="118">IF(MW4,baseBetterNumbers(NC4*$DD4),IF(MV4,ND3,0))</f>
        <v>0</v>
      </c>
      <c r="NE4" s="2">
        <v>1.5</v>
      </c>
      <c r="NF4" s="25">
        <f>IF(MW4,baseBetterNumbers(NE4*$DG4),IF(MV4,NF3,0))</f>
        <v>0</v>
      </c>
      <c r="NG4" s="33" t="str">
        <f t="shared" ref="NG4:NG17" si="119">secToTime(NI4)</f>
        <v>0h 0m</v>
      </c>
      <c r="NH4" s="46">
        <v>1</v>
      </c>
      <c r="NI4" s="25">
        <f t="shared" ref="NI4:NI17" si="120">IF(MW4,baseBetterNumbers(NH4*$DK4),IF(MV4,NI3,0))</f>
        <v>0</v>
      </c>
      <c r="NJ4" s="7"/>
      <c r="NK4" s="8">
        <f>IF(NL4,NK3+1,NK3)</f>
        <v>1</v>
      </c>
      <c r="NL4" s="5">
        <v>1</v>
      </c>
      <c r="NM4" s="47">
        <v>1</v>
      </c>
      <c r="NN4" s="25">
        <f t="shared" ref="NN4:NN17" si="121">IF(NL4,baseBetterNumbers(NM4*$CY4),IF(NK4,NN3,0))</f>
        <v>9</v>
      </c>
      <c r="NO4" s="25">
        <f>IF(NL4,NN4+NO3,NO3)</f>
        <v>9</v>
      </c>
      <c r="NP4" s="47">
        <v>1.5</v>
      </c>
      <c r="NQ4" s="25">
        <f>IF(NL4,baseBetterNumbers(NP4*$DD4),IF(NK4,NQ3,0))</f>
        <v>300</v>
      </c>
      <c r="NR4" s="2">
        <v>1.5</v>
      </c>
      <c r="NS4" s="25">
        <f>IF(NL4,baseBetterNumbers(NR4*$DG4),IF(NK4,NS3,0))</f>
        <v>0</v>
      </c>
      <c r="NT4" s="33" t="str">
        <f t="shared" ref="NT4:NT17" si="122">secToTime(NV4)</f>
        <v>0h 15m</v>
      </c>
      <c r="NU4" s="46">
        <v>1</v>
      </c>
      <c r="NV4" s="25">
        <f>IF(NL4,baseBetterNumbers(NU4*$DK4),IF(NK4,NV3,0))</f>
        <v>900</v>
      </c>
      <c r="NW4" s="47">
        <v>2</v>
      </c>
      <c r="NX4" s="1">
        <v>40</v>
      </c>
      <c r="NY4" s="1">
        <f t="shared" ref="NY4:NY17" si="123">NX4*BP4</f>
        <v>40</v>
      </c>
      <c r="NZ4" s="1" t="e">
        <f>G4+AJ4*DT4+AL4*EK4+AN4*FE4+AP4*FV4+AR4*GP4+AT4*HG4+AV4*IA4+AX4*IQ4+AZ4*JP4+BD4*KT4+BF4*LI4+BH4*LX4+BJ4*MM4+BL4*NB4+BR4*OH4+BT4*OW4+BV4*#REF!+BX4*#REF!+BZ4*QB4+#REF!*#REF!+#REF!*#REF!</f>
        <v>#REF!</v>
      </c>
      <c r="OB4" s="8">
        <f>IF(OC4,OB3+1,OB3)</f>
        <v>0</v>
      </c>
      <c r="OC4" s="5">
        <v>0</v>
      </c>
      <c r="OD4" s="47">
        <v>1</v>
      </c>
      <c r="OE4" s="25">
        <f t="shared" ref="OE4:OE17" si="124">IF(OC4,baseBetterNumbers(OD4*$CY4),IF(OB4,OE3,0))</f>
        <v>0</v>
      </c>
      <c r="OF4" s="25">
        <f>IF(OC4,OE4+OF3,OF3)</f>
        <v>0</v>
      </c>
      <c r="OG4" s="47">
        <v>1</v>
      </c>
      <c r="OH4" s="25">
        <f t="shared" ref="OH4:OH17" si="125">IF(OC4,baseBetterNumbers(OG4*$DB4),IF(OB4,OH3,0))</f>
        <v>0</v>
      </c>
      <c r="OI4" s="47">
        <v>2.5</v>
      </c>
      <c r="OJ4" s="25">
        <f t="shared" ref="OJ4:OJ17" si="126">IF(OC4,baseBetterNumbers(OI4*$DD4),IF(OB4,OJ3,0))</f>
        <v>0</v>
      </c>
      <c r="OK4" s="2">
        <v>1.5</v>
      </c>
      <c r="OL4" s="25">
        <f>IF(OC4,baseBetterNumbers(OK4*$DG4),IF(OB4,OL3,0))</f>
        <v>0</v>
      </c>
      <c r="OM4" s="33" t="str">
        <f t="shared" ref="OM4:OM17" si="127">secToTime(OO4)</f>
        <v>0h 0m</v>
      </c>
      <c r="ON4" s="46">
        <v>1</v>
      </c>
      <c r="OO4" s="25">
        <f t="shared" ref="OO4:OO17" si="128">IF(OC4,baseBetterNumbers(ON4*$DK4),IF(OB4,OO3,0))</f>
        <v>0</v>
      </c>
      <c r="OP4" s="7"/>
      <c r="OQ4" s="8">
        <f>IF(OR4,OQ3+1,OQ3)</f>
        <v>0</v>
      </c>
      <c r="OR4" s="5">
        <v>0</v>
      </c>
      <c r="OS4" s="47">
        <v>1</v>
      </c>
      <c r="OT4" s="25">
        <f t="shared" ref="OT4:OT17" si="129">IF(OR4,baseBetterNumbers(OS4*$CY4),IF(OQ4,OT3,0))</f>
        <v>0</v>
      </c>
      <c r="OU4" s="25">
        <f>IF(OR4,OT4+OU3,OU3)</f>
        <v>0</v>
      </c>
      <c r="OV4" s="47">
        <v>1</v>
      </c>
      <c r="OW4" s="25">
        <f t="shared" ref="OW4:OW17" si="130">IF(OR4,baseBetterNumbers(OV4*$DB4),IF(OQ4,OW3,0))</f>
        <v>0</v>
      </c>
      <c r="OX4" s="47">
        <v>2.5</v>
      </c>
      <c r="OY4" s="25">
        <f t="shared" ref="OY4:OY17" si="131">IF(OR4,baseBetterNumbers(OX4*$DD4),IF(OQ4,OY3,0))</f>
        <v>0</v>
      </c>
      <c r="OZ4" s="2">
        <v>1.5</v>
      </c>
      <c r="PA4" s="25">
        <f>IF(OR4,baseBetterNumbers(OZ4*$DG4),IF(OQ4,PA3,0))</f>
        <v>0</v>
      </c>
      <c r="PB4" s="33" t="str">
        <f t="shared" ref="PB4:PB17" si="132">secToTime(PD4)</f>
        <v>0h 0m</v>
      </c>
      <c r="PC4" s="46">
        <v>1</v>
      </c>
      <c r="PD4" s="25">
        <f t="shared" ref="PD4:PD17" si="133">IF(OR4,baseBetterNumbers(PC4*$DK4),IF(OQ4,PD3,0))</f>
        <v>0</v>
      </c>
      <c r="PE4" s="82"/>
      <c r="PF4" s="82"/>
      <c r="PG4" s="78"/>
      <c r="PH4" s="25"/>
      <c r="PI4" s="47"/>
      <c r="PJ4" s="25"/>
      <c r="PK4" s="82"/>
      <c r="PL4" s="82"/>
      <c r="PM4" s="25"/>
      <c r="PN4" s="25"/>
      <c r="PO4" s="25"/>
      <c r="PP4" s="47"/>
      <c r="PQ4" s="25"/>
      <c r="PR4" s="82"/>
      <c r="PS4" s="82"/>
      <c r="PT4" s="82"/>
      <c r="PU4" s="25"/>
      <c r="PV4" s="5">
        <v>0</v>
      </c>
      <c r="PW4" s="5">
        <v>0</v>
      </c>
      <c r="PX4" s="5"/>
      <c r="PY4" s="25">
        <v>0</v>
      </c>
      <c r="PZ4" s="25">
        <f>IF(PW4,PY4+PZ3,PZ3)</f>
        <v>0</v>
      </c>
      <c r="QA4" s="25"/>
      <c r="QB4" s="3">
        <v>0</v>
      </c>
      <c r="QC4" s="3"/>
      <c r="QD4" s="1">
        <v>0</v>
      </c>
      <c r="QE4" s="20"/>
      <c r="QF4" s="1">
        <v>0</v>
      </c>
      <c r="QG4" s="33" t="str">
        <f>secToTime(QI4)</f>
        <v>0h 0m</v>
      </c>
      <c r="QH4" s="33"/>
      <c r="QI4" s="7">
        <f>cioUpTime(Conf!E$57,A4,QD4)</f>
        <v>0</v>
      </c>
    </row>
    <row r="5" spans="1:451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-AC5+E5+AJ5*DR5+AL5*EI5+AN5*FC5+AP5*FT5+AR5*GN5+AT5*HE5+AV5*HY5+AX5*IO5+AZ5*JN5+BD5*KR5+BF5*LG5+BH5*LV5+BJ5*MK5+BL5*MZ5+BP5*NO5+BR5*OF5+BT5*OU5+BV5*#REF!+BX5*#REF!+BZ5*PZ5+#REF!*#REF!+#REF!*#REF!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25">
        <v>0</v>
      </c>
      <c r="JC5" s="25">
        <f t="shared" ref="JC5:JC10" si="155">JC4</f>
        <v>0</v>
      </c>
      <c r="JD5" s="25">
        <f t="shared" ref="JD5:JD12" si="156">JD4</f>
        <v>0</v>
      </c>
      <c r="JE5" s="25">
        <f t="shared" ref="JE5:JE14" si="157">JE4</f>
        <v>0</v>
      </c>
      <c r="JF5" s="25"/>
      <c r="JG5" s="25"/>
      <c r="JH5" s="25"/>
      <c r="JI5" s="7"/>
      <c r="JJ5" s="8">
        <f t="shared" ref="JJ5:JJ17" si="158">IF(JK5,JJ4+1,JJ4)</f>
        <v>0</v>
      </c>
      <c r="JK5" s="8">
        <v>0</v>
      </c>
      <c r="JL5" s="47">
        <v>1</v>
      </c>
      <c r="JM5" s="25">
        <f t="shared" si="83"/>
        <v>0</v>
      </c>
      <c r="JN5" s="25">
        <f t="shared" ref="JN5:JN17" si="159">IF(JK5,JM5+JN4,JN4)</f>
        <v>0</v>
      </c>
      <c r="JO5" s="47">
        <v>2</v>
      </c>
      <c r="JP5" s="25">
        <f t="shared" si="84"/>
        <v>0</v>
      </c>
      <c r="JQ5" s="47">
        <v>2.5</v>
      </c>
      <c r="JR5" s="25">
        <f t="shared" si="85"/>
        <v>0</v>
      </c>
      <c r="JS5" s="2">
        <v>2.5</v>
      </c>
      <c r="JT5" s="25">
        <f t="shared" si="86"/>
        <v>0</v>
      </c>
      <c r="JU5" s="33" t="str">
        <f t="shared" si="87"/>
        <v>0h 0m</v>
      </c>
      <c r="JV5" s="46">
        <v>3.5</v>
      </c>
      <c r="JW5" s="25">
        <f t="shared" si="88"/>
        <v>0</v>
      </c>
      <c r="JX5" s="7"/>
      <c r="JY5" s="8">
        <f t="shared" si="89"/>
        <v>1</v>
      </c>
      <c r="JZ5" s="5">
        <v>0</v>
      </c>
      <c r="KA5" s="47">
        <v>1</v>
      </c>
      <c r="KB5" s="25">
        <f t="shared" si="90"/>
        <v>0</v>
      </c>
      <c r="KC5" s="25">
        <f t="shared" ref="KC5:KC17" si="160">IF(JZ5,KB5+KC4,KC4)</f>
        <v>0</v>
      </c>
      <c r="KD5" s="47">
        <v>1</v>
      </c>
      <c r="KE5" s="25">
        <f t="shared" si="91"/>
        <v>0</v>
      </c>
      <c r="KF5" s="47">
        <v>1.5</v>
      </c>
      <c r="KG5" s="25">
        <f>IF(JZ5,baseBetterNumbers(KF5*$DD5),IF(JY5-1,KG4,0))</f>
        <v>0</v>
      </c>
      <c r="KH5" s="2">
        <v>1.5</v>
      </c>
      <c r="KI5" s="25">
        <f t="shared" si="92"/>
        <v>0</v>
      </c>
      <c r="KJ5" s="33" t="str">
        <f t="shared" si="93"/>
        <v>0h 0m</v>
      </c>
      <c r="KK5" s="46">
        <v>1</v>
      </c>
      <c r="KL5" s="25">
        <f t="shared" si="94"/>
        <v>0</v>
      </c>
      <c r="KM5" s="7"/>
      <c r="KN5" s="8">
        <f t="shared" ref="KN5:KN17" si="161">IF(KO5,KN4+1,KN4)</f>
        <v>3</v>
      </c>
      <c r="KO5" s="8">
        <v>1</v>
      </c>
      <c r="KP5" s="47">
        <v>1</v>
      </c>
      <c r="KQ5" s="25">
        <f t="shared" si="95"/>
        <v>18</v>
      </c>
      <c r="KR5" s="25">
        <f t="shared" ref="KR5:KR17" si="162">IF(KO5,KQ5+KR4,KR4)</f>
        <v>29</v>
      </c>
      <c r="KS5" s="47">
        <v>1</v>
      </c>
      <c r="KT5" s="25">
        <f t="shared" si="96"/>
        <v>6</v>
      </c>
      <c r="KU5" s="47">
        <v>1.5</v>
      </c>
      <c r="KV5" s="25">
        <f t="shared" si="97"/>
        <v>600</v>
      </c>
      <c r="KW5" s="2">
        <v>1.5</v>
      </c>
      <c r="KX5" s="25">
        <f t="shared" si="98"/>
        <v>0</v>
      </c>
      <c r="KY5" s="33" t="str">
        <f t="shared" si="99"/>
        <v>0h 30m</v>
      </c>
      <c r="KZ5" s="46">
        <v>1</v>
      </c>
      <c r="LA5" s="25">
        <f t="shared" si="100"/>
        <v>1800</v>
      </c>
      <c r="LB5" s="7"/>
      <c r="LC5" s="8">
        <f t="shared" ref="LC5:LC17" si="163">IF(LD5,LC4+1,LC4)</f>
        <v>0</v>
      </c>
      <c r="LD5" s="5">
        <v>0</v>
      </c>
      <c r="LE5" s="47">
        <v>1</v>
      </c>
      <c r="LF5" s="25">
        <f t="shared" si="101"/>
        <v>0</v>
      </c>
      <c r="LG5" s="25">
        <f t="shared" ref="LG5:LG17" si="164">IF(LD5,LF5+LG4,LG4)</f>
        <v>0</v>
      </c>
      <c r="LH5" s="47">
        <v>1</v>
      </c>
      <c r="LI5" s="25">
        <f t="shared" si="102"/>
        <v>0</v>
      </c>
      <c r="LJ5" s="47">
        <v>1.5</v>
      </c>
      <c r="LK5" s="25">
        <f t="shared" si="103"/>
        <v>0</v>
      </c>
      <c r="LL5" s="2">
        <v>1.5</v>
      </c>
      <c r="LM5" s="25">
        <f t="shared" ref="LM5:LM17" si="165">IF(LD5,baseBetterNumbers(LL5*$DG5),IF(LC5-1,LM4,0))</f>
        <v>0</v>
      </c>
      <c r="LN5" s="33" t="str">
        <f t="shared" si="104"/>
        <v>0h 0m</v>
      </c>
      <c r="LO5" s="46">
        <v>1</v>
      </c>
      <c r="LP5" s="25">
        <f t="shared" si="105"/>
        <v>0</v>
      </c>
      <c r="LQ5" s="7"/>
      <c r="LR5" s="8">
        <f t="shared" ref="LR5:LR17" si="166">IF(LS5,LR4+1,LR4)</f>
        <v>0</v>
      </c>
      <c r="LS5" s="5">
        <v>0</v>
      </c>
      <c r="LT5" s="47">
        <v>1</v>
      </c>
      <c r="LU5" s="25">
        <f t="shared" si="106"/>
        <v>0</v>
      </c>
      <c r="LV5" s="25">
        <f t="shared" ref="LV5:LV17" si="167">IF(LS5,LU5+LV4,LV4)</f>
        <v>0</v>
      </c>
      <c r="LW5" s="47">
        <v>1</v>
      </c>
      <c r="LX5" s="25">
        <f t="shared" si="107"/>
        <v>0</v>
      </c>
      <c r="LY5" s="47">
        <v>1.5</v>
      </c>
      <c r="LZ5" s="25">
        <f t="shared" si="108"/>
        <v>0</v>
      </c>
      <c r="MA5" s="2">
        <v>1.5</v>
      </c>
      <c r="MB5" s="25">
        <f t="shared" ref="MB5:MB17" si="168">IF(LS5,baseBetterNumbers(MA5*$DG5),IF(LR5-1,MB4,0))</f>
        <v>0</v>
      </c>
      <c r="MC5" s="33" t="str">
        <f t="shared" si="109"/>
        <v>0h 0m</v>
      </c>
      <c r="MD5" s="46">
        <v>1</v>
      </c>
      <c r="ME5" s="25">
        <f t="shared" si="110"/>
        <v>0</v>
      </c>
      <c r="MF5" s="7"/>
      <c r="MG5" s="8">
        <f t="shared" ref="MG5:MG17" si="169">IF(MH5,MG4+1,MG4)</f>
        <v>0</v>
      </c>
      <c r="MH5" s="5">
        <v>0</v>
      </c>
      <c r="MI5" s="47">
        <v>1</v>
      </c>
      <c r="MJ5" s="25">
        <f t="shared" si="111"/>
        <v>0</v>
      </c>
      <c r="MK5" s="25">
        <f t="shared" ref="MK5:MK17" si="170">IF(MH5,MJ5+MK4,MK4)</f>
        <v>0</v>
      </c>
      <c r="ML5" s="47">
        <v>1</v>
      </c>
      <c r="MM5" s="25">
        <f t="shared" si="112"/>
        <v>0</v>
      </c>
      <c r="MN5" s="47">
        <v>1.5</v>
      </c>
      <c r="MO5" s="25">
        <f t="shared" si="113"/>
        <v>0</v>
      </c>
      <c r="MP5" s="2">
        <v>1.5</v>
      </c>
      <c r="MQ5" s="25">
        <f t="shared" ref="MQ5:MQ17" si="171">IF(MH5,baseBetterNumbers(MP5*$DG5),IF(MG5-1,MQ4,0))</f>
        <v>0</v>
      </c>
      <c r="MR5" s="33" t="str">
        <f t="shared" si="114"/>
        <v>0h 0m</v>
      </c>
      <c r="MS5" s="46">
        <v>1</v>
      </c>
      <c r="MT5" s="25">
        <f t="shared" si="115"/>
        <v>0</v>
      </c>
      <c r="MU5" s="7"/>
      <c r="MV5" s="8">
        <f t="shared" ref="MV5:MV17" si="172">IF(MW5,MV4+1,MV4)</f>
        <v>1</v>
      </c>
      <c r="MW5" s="5">
        <v>1</v>
      </c>
      <c r="MX5" s="47">
        <v>1</v>
      </c>
      <c r="MY5" s="25">
        <f t="shared" si="116"/>
        <v>18</v>
      </c>
      <c r="MZ5" s="25">
        <f t="shared" ref="MZ5:MZ17" si="173">IF(MW5,MY5+MZ4,MZ4)</f>
        <v>18</v>
      </c>
      <c r="NA5" s="47">
        <v>1.5</v>
      </c>
      <c r="NB5" s="25">
        <f t="shared" si="117"/>
        <v>9</v>
      </c>
      <c r="NC5" s="47">
        <v>4</v>
      </c>
      <c r="ND5" s="25">
        <f t="shared" si="118"/>
        <v>1600</v>
      </c>
      <c r="NE5" s="2">
        <v>1.5</v>
      </c>
      <c r="NF5" s="25">
        <f t="shared" ref="NF5:NF17" si="174">IF(MW5,baseBetterNumbers(NE5*$DG5),IF(MV5-1,NF4,0))</f>
        <v>0</v>
      </c>
      <c r="NG5" s="33" t="str">
        <f t="shared" si="119"/>
        <v>0h 30m</v>
      </c>
      <c r="NH5" s="46">
        <v>1</v>
      </c>
      <c r="NI5" s="25">
        <f t="shared" si="120"/>
        <v>1800</v>
      </c>
      <c r="NJ5" s="7"/>
      <c r="NK5" s="8">
        <f t="shared" ref="NK5:NK17" si="175">IF(NL5,NK4+1,NK4)</f>
        <v>2</v>
      </c>
      <c r="NL5" s="5">
        <v>1</v>
      </c>
      <c r="NM5" s="47">
        <v>1</v>
      </c>
      <c r="NN5" s="25">
        <f t="shared" si="121"/>
        <v>18</v>
      </c>
      <c r="NO5" s="25">
        <f t="shared" ref="NO5:NO17" si="176">IF(NL5,NN5+NO4,NO4)</f>
        <v>27</v>
      </c>
      <c r="NP5" s="47">
        <v>4</v>
      </c>
      <c r="NQ5" s="25">
        <f>IF(NL5,baseBetterNumbers(NP5*$DD5),IF(NK5,NQ4,0))</f>
        <v>1600</v>
      </c>
      <c r="NR5" s="2">
        <v>1.5</v>
      </c>
      <c r="NS5" s="25">
        <f>IF(NL5,baseBetterNumbers(NR5*$DG5),IF(NK5-1,NS4,0))</f>
        <v>0</v>
      </c>
      <c r="NT5" s="33" t="str">
        <f t="shared" si="122"/>
        <v>0h 30m</v>
      </c>
      <c r="NU5" s="46">
        <v>1</v>
      </c>
      <c r="NV5" s="25">
        <f>IF(NL5,baseBetterNumbers(NU5*$DK5),IF(NK5,NV4,0))</f>
        <v>1800</v>
      </c>
      <c r="NW5" s="47">
        <v>2</v>
      </c>
      <c r="NX5" s="25">
        <f>NX4*NW5</f>
        <v>80</v>
      </c>
      <c r="NY5" s="1">
        <f t="shared" si="123"/>
        <v>80</v>
      </c>
      <c r="NZ5" s="1" t="e">
        <f>G5+AJ5*DT5+AL5*EK5+AN5*FE5+AP5*FV5+AR5*GP5+AT5*HG5+AV5*IA5+AX5*IQ5+AZ5*JP5+BD5*KT5+BF5*LI5+BH5*LX5+BJ5*MM5+BL5*NB5+BR5*OH5+BT5*OW5+BV5*#REF!+BX5*#REF!+BZ5*QB5+#REF!*#REF!+#REF!*#REF!</f>
        <v>#REF!</v>
      </c>
      <c r="OB5" s="8">
        <f t="shared" ref="OB5:OB17" si="177">IF(OC5,OB4+1,OB4)</f>
        <v>0</v>
      </c>
      <c r="OC5" s="5">
        <v>0</v>
      </c>
      <c r="OD5" s="47">
        <v>1</v>
      </c>
      <c r="OE5" s="25">
        <f t="shared" si="124"/>
        <v>0</v>
      </c>
      <c r="OF5" s="25">
        <f t="shared" ref="OF5:OF17" si="178">IF(OC5,OE5+OF4,OF4)</f>
        <v>0</v>
      </c>
      <c r="OG5" s="47">
        <v>1.5</v>
      </c>
      <c r="OH5" s="25">
        <f t="shared" si="125"/>
        <v>0</v>
      </c>
      <c r="OI5" s="47">
        <v>2.5</v>
      </c>
      <c r="OJ5" s="25">
        <f t="shared" si="126"/>
        <v>0</v>
      </c>
      <c r="OK5" s="2">
        <v>1.5</v>
      </c>
      <c r="OL5" s="25">
        <f t="shared" ref="OL5:OL17" si="179">IF(OC5,baseBetterNumbers(OK5*$DG5),IF(OB5-1,OL4,0))</f>
        <v>0</v>
      </c>
      <c r="OM5" s="33" t="str">
        <f t="shared" si="127"/>
        <v>0h 0m</v>
      </c>
      <c r="ON5" s="46">
        <v>1</v>
      </c>
      <c r="OO5" s="25">
        <f t="shared" si="128"/>
        <v>0</v>
      </c>
      <c r="OP5" s="7"/>
      <c r="OQ5" s="8">
        <f t="shared" ref="OQ5:OQ17" si="180">IF(OR5,OQ4+1,OQ4)</f>
        <v>0</v>
      </c>
      <c r="OR5" s="5">
        <v>0</v>
      </c>
      <c r="OS5" s="47">
        <v>1</v>
      </c>
      <c r="OT5" s="25">
        <f t="shared" si="129"/>
        <v>0</v>
      </c>
      <c r="OU5" s="25">
        <f t="shared" ref="OU5:OU17" si="181">IF(OR5,OT5+OU4,OU4)</f>
        <v>0</v>
      </c>
      <c r="OV5" s="47">
        <v>1.5</v>
      </c>
      <c r="OW5" s="25">
        <f t="shared" si="130"/>
        <v>0</v>
      </c>
      <c r="OX5" s="47">
        <v>2.5</v>
      </c>
      <c r="OY5" s="25">
        <f t="shared" si="131"/>
        <v>0</v>
      </c>
      <c r="OZ5" s="2">
        <v>1.5</v>
      </c>
      <c r="PA5" s="25">
        <f t="shared" ref="PA5:PA17" si="182">IF(OR5,baseBetterNumbers(OZ5*$DG5),IF(OQ5-1,PA4,0))</f>
        <v>0</v>
      </c>
      <c r="PB5" s="33" t="str">
        <f t="shared" si="132"/>
        <v>0h 0m</v>
      </c>
      <c r="PC5" s="46">
        <v>1</v>
      </c>
      <c r="PD5" s="25">
        <f t="shared" si="133"/>
        <v>0</v>
      </c>
      <c r="PE5" s="82"/>
      <c r="PF5" s="82"/>
      <c r="PG5" s="78"/>
      <c r="PH5" s="25"/>
      <c r="PI5" s="47"/>
      <c r="PJ5" s="25"/>
      <c r="PK5" s="82"/>
      <c r="PL5" s="82"/>
      <c r="PM5" s="25"/>
      <c r="PN5" s="25"/>
      <c r="PO5" s="25"/>
      <c r="PP5" s="47"/>
      <c r="PQ5" s="25"/>
      <c r="PR5" s="82"/>
      <c r="PS5" s="82"/>
      <c r="PT5" s="82"/>
      <c r="PU5" s="25"/>
      <c r="PV5" s="8">
        <v>0</v>
      </c>
      <c r="PW5" s="8">
        <v>0</v>
      </c>
      <c r="PX5" s="8"/>
      <c r="PY5" s="25">
        <f>IF(PW5,cio2StepsChangesX(PY4,BZ5,Conf!BM$40,Conf!BM$41,Conf!BN$39,Conf!BN$40,Conf!BN$41),PY4)</f>
        <v>0</v>
      </c>
      <c r="PZ5" s="25">
        <f t="shared" ref="PZ5:PZ11" si="183">IF(PW5,PY5+PZ4,PZ4)</f>
        <v>0</v>
      </c>
      <c r="QA5" s="25"/>
      <c r="QB5" s="3">
        <f>IF(PW5,cio2StepsChangesX(QB4,PV5,Conf!BM$46,Conf!BM$47,Conf!BN$45,Conf!BN$46,Conf!BN$47),QB4)</f>
        <v>0</v>
      </c>
      <c r="QC5" s="3"/>
      <c r="QD5" s="3">
        <v>0</v>
      </c>
      <c r="QE5" s="20"/>
      <c r="QF5" s="3">
        <f>IF(PW5,cioCFTiPrice(QF4,PV5),QF4)</f>
        <v>0</v>
      </c>
      <c r="QG5" s="33" t="str">
        <f>secToTime(QI5)</f>
        <v>0h 0m</v>
      </c>
      <c r="QH5" s="33"/>
      <c r="QI5" s="7">
        <f>cioUpTime(Conf!E$57,A5,QD5)</f>
        <v>0</v>
      </c>
    </row>
    <row r="6" spans="1:451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-AC6+E6+AJ6*DR6+AL6*EI6+AN6*FC6+AP6*FT6+AR6*GN6+AT6*HE6+AV6*HY6+AX6*IO6+AZ6*JN6+BD6*KR6+BF6*LG6+BH6*LV6+BJ6*MK6+BL6*MZ6+BP6*NO6+BR6*OF6+BT6*OU6+BV6*#REF!+BX6*#REF!+BZ6*PZ6+#REF!*#REF!+#REF!*#REF!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4">DA5</f>
        <v>1.5</v>
      </c>
      <c r="DB6" s="3">
        <f t="shared" si="20"/>
        <v>9</v>
      </c>
      <c r="DC6" s="3">
        <f t="shared" ref="DC6:DC17" si="185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6">ES5</f>
        <v>2</v>
      </c>
      <c r="ET6" s="3">
        <f t="shared" si="38"/>
        <v>800</v>
      </c>
      <c r="EU6" s="7">
        <f t="shared" ref="EU6:EU17" si="187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8">GD5</f>
        <v>2</v>
      </c>
      <c r="GE6" s="3">
        <f t="shared" si="54"/>
        <v>800</v>
      </c>
      <c r="GF6" s="7">
        <f t="shared" ref="GF6:GF9" si="189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90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25">
        <v>0</v>
      </c>
      <c r="JC6" s="25">
        <f t="shared" si="155"/>
        <v>0</v>
      </c>
      <c r="JD6" s="25">
        <f t="shared" si="156"/>
        <v>0</v>
      </c>
      <c r="JE6" s="25">
        <f t="shared" si="157"/>
        <v>0</v>
      </c>
      <c r="JF6" s="25"/>
      <c r="JG6" s="25"/>
      <c r="JH6" s="25"/>
      <c r="JI6" s="7"/>
      <c r="JJ6" s="8">
        <f t="shared" si="158"/>
        <v>0</v>
      </c>
      <c r="JK6" s="5">
        <v>0</v>
      </c>
      <c r="JL6" s="47">
        <v>1</v>
      </c>
      <c r="JM6" s="25">
        <f t="shared" si="83"/>
        <v>0</v>
      </c>
      <c r="JN6" s="25">
        <f t="shared" si="159"/>
        <v>0</v>
      </c>
      <c r="JO6" s="47">
        <v>2</v>
      </c>
      <c r="JP6" s="25">
        <f t="shared" si="84"/>
        <v>0</v>
      </c>
      <c r="JQ6" s="47">
        <v>2.5</v>
      </c>
      <c r="JR6" s="25">
        <f t="shared" si="85"/>
        <v>0</v>
      </c>
      <c r="JS6" s="2">
        <v>2.5</v>
      </c>
      <c r="JT6" s="25">
        <f t="shared" si="86"/>
        <v>0</v>
      </c>
      <c r="JU6" s="33" t="str">
        <f t="shared" si="87"/>
        <v>0h 0m</v>
      </c>
      <c r="JV6" s="46">
        <v>3.5</v>
      </c>
      <c r="JW6" s="25">
        <f t="shared" si="88"/>
        <v>0</v>
      </c>
      <c r="JX6" s="7"/>
      <c r="JY6" s="8">
        <f t="shared" si="89"/>
        <v>1</v>
      </c>
      <c r="JZ6" s="5">
        <v>0</v>
      </c>
      <c r="KA6" s="47">
        <v>1</v>
      </c>
      <c r="KB6" s="25">
        <f t="shared" si="90"/>
        <v>0</v>
      </c>
      <c r="KC6" s="25">
        <f t="shared" si="160"/>
        <v>0</v>
      </c>
      <c r="KD6" s="47">
        <v>1</v>
      </c>
      <c r="KE6" s="25">
        <f t="shared" si="91"/>
        <v>0</v>
      </c>
      <c r="KF6" s="47">
        <v>1.5</v>
      </c>
      <c r="KG6" s="25">
        <f>IF(JZ6,baseBetterNumbers(KF6*$DD6),IF(JY6-1,KG5,0))</f>
        <v>0</v>
      </c>
      <c r="KH6" s="2">
        <v>1.5</v>
      </c>
      <c r="KI6" s="25">
        <f t="shared" si="92"/>
        <v>0</v>
      </c>
      <c r="KJ6" s="33" t="str">
        <f t="shared" si="93"/>
        <v>0h 0m</v>
      </c>
      <c r="KK6" s="46">
        <v>1</v>
      </c>
      <c r="KL6" s="25">
        <f t="shared" si="94"/>
        <v>0</v>
      </c>
      <c r="KM6" s="7"/>
      <c r="KN6" s="8">
        <f t="shared" si="161"/>
        <v>4</v>
      </c>
      <c r="KO6" s="5">
        <v>1</v>
      </c>
      <c r="KP6" s="47">
        <v>1</v>
      </c>
      <c r="KQ6" s="25">
        <f t="shared" si="95"/>
        <v>36</v>
      </c>
      <c r="KR6" s="25">
        <f t="shared" si="162"/>
        <v>65</v>
      </c>
      <c r="KS6" s="47">
        <v>1</v>
      </c>
      <c r="KT6" s="25">
        <f t="shared" si="96"/>
        <v>9</v>
      </c>
      <c r="KU6" s="47">
        <v>1.5</v>
      </c>
      <c r="KV6" s="25">
        <f t="shared" si="97"/>
        <v>1200</v>
      </c>
      <c r="KW6" s="2">
        <v>1.5</v>
      </c>
      <c r="KX6" s="25">
        <f t="shared" si="98"/>
        <v>0</v>
      </c>
      <c r="KY6" s="33" t="str">
        <f t="shared" si="99"/>
        <v>1h 0m</v>
      </c>
      <c r="KZ6" s="46">
        <v>1</v>
      </c>
      <c r="LA6" s="25">
        <f t="shared" si="100"/>
        <v>3600</v>
      </c>
      <c r="LB6" s="7"/>
      <c r="LC6" s="8">
        <f t="shared" si="163"/>
        <v>0</v>
      </c>
      <c r="LD6" s="5">
        <v>0</v>
      </c>
      <c r="LE6" s="47">
        <v>1</v>
      </c>
      <c r="LF6" s="25">
        <f t="shared" si="101"/>
        <v>0</v>
      </c>
      <c r="LG6" s="25">
        <f t="shared" si="164"/>
        <v>0</v>
      </c>
      <c r="LH6" s="47">
        <v>1</v>
      </c>
      <c r="LI6" s="25">
        <f t="shared" si="102"/>
        <v>0</v>
      </c>
      <c r="LJ6" s="47">
        <v>1.5</v>
      </c>
      <c r="LK6" s="25">
        <f t="shared" si="103"/>
        <v>0</v>
      </c>
      <c r="LL6" s="2">
        <v>1.5</v>
      </c>
      <c r="LM6" s="25">
        <f t="shared" si="165"/>
        <v>0</v>
      </c>
      <c r="LN6" s="33" t="str">
        <f t="shared" si="104"/>
        <v>0h 0m</v>
      </c>
      <c r="LO6" s="46">
        <v>1</v>
      </c>
      <c r="LP6" s="25">
        <f t="shared" si="105"/>
        <v>0</v>
      </c>
      <c r="LQ6" s="7"/>
      <c r="LR6" s="8">
        <f t="shared" si="166"/>
        <v>0</v>
      </c>
      <c r="LS6" s="5">
        <v>0</v>
      </c>
      <c r="LT6" s="47">
        <v>1</v>
      </c>
      <c r="LU6" s="25">
        <f t="shared" si="106"/>
        <v>0</v>
      </c>
      <c r="LV6" s="25">
        <f t="shared" si="167"/>
        <v>0</v>
      </c>
      <c r="LW6" s="47">
        <v>1</v>
      </c>
      <c r="LX6" s="25">
        <f t="shared" si="107"/>
        <v>0</v>
      </c>
      <c r="LY6" s="47">
        <v>1.5</v>
      </c>
      <c r="LZ6" s="25">
        <f t="shared" si="108"/>
        <v>0</v>
      </c>
      <c r="MA6" s="2">
        <v>1.5</v>
      </c>
      <c r="MB6" s="25">
        <f t="shared" si="168"/>
        <v>0</v>
      </c>
      <c r="MC6" s="33" t="str">
        <f t="shared" si="109"/>
        <v>0h 0m</v>
      </c>
      <c r="MD6" s="46">
        <v>1</v>
      </c>
      <c r="ME6" s="25">
        <f t="shared" si="110"/>
        <v>0</v>
      </c>
      <c r="MF6" s="7"/>
      <c r="MG6" s="8">
        <f t="shared" si="169"/>
        <v>0</v>
      </c>
      <c r="MH6" s="5">
        <v>0</v>
      </c>
      <c r="MI6" s="47">
        <v>1</v>
      </c>
      <c r="MJ6" s="25">
        <f t="shared" si="111"/>
        <v>0</v>
      </c>
      <c r="MK6" s="25">
        <f t="shared" si="170"/>
        <v>0</v>
      </c>
      <c r="ML6" s="47">
        <v>1</v>
      </c>
      <c r="MM6" s="25">
        <f t="shared" si="112"/>
        <v>0</v>
      </c>
      <c r="MN6" s="47">
        <v>1.5</v>
      </c>
      <c r="MO6" s="25">
        <f t="shared" si="113"/>
        <v>0</v>
      </c>
      <c r="MP6" s="2">
        <v>1.5</v>
      </c>
      <c r="MQ6" s="25">
        <f t="shared" si="171"/>
        <v>0</v>
      </c>
      <c r="MR6" s="33" t="str">
        <f t="shared" si="114"/>
        <v>0h 0m</v>
      </c>
      <c r="MS6" s="46">
        <v>1</v>
      </c>
      <c r="MT6" s="25">
        <f t="shared" si="115"/>
        <v>0</v>
      </c>
      <c r="MU6" s="7"/>
      <c r="MV6" s="8">
        <f t="shared" si="172"/>
        <v>2</v>
      </c>
      <c r="MW6" s="5">
        <v>1</v>
      </c>
      <c r="MX6" s="47">
        <v>1</v>
      </c>
      <c r="MY6" s="25">
        <f t="shared" si="116"/>
        <v>36</v>
      </c>
      <c r="MZ6" s="25">
        <f t="shared" si="173"/>
        <v>54</v>
      </c>
      <c r="NA6" s="47">
        <v>1.5</v>
      </c>
      <c r="NB6" s="25">
        <f t="shared" si="117"/>
        <v>14</v>
      </c>
      <c r="NC6" s="47">
        <v>4</v>
      </c>
      <c r="ND6" s="25">
        <f t="shared" si="118"/>
        <v>3200</v>
      </c>
      <c r="NE6" s="2">
        <v>1.5</v>
      </c>
      <c r="NF6" s="25">
        <f t="shared" si="174"/>
        <v>0</v>
      </c>
      <c r="NG6" s="33" t="str">
        <f t="shared" si="119"/>
        <v>1h 0m</v>
      </c>
      <c r="NH6" s="46">
        <v>1</v>
      </c>
      <c r="NI6" s="25">
        <f t="shared" si="120"/>
        <v>3600</v>
      </c>
      <c r="NJ6" s="7"/>
      <c r="NK6" s="8">
        <f t="shared" si="175"/>
        <v>3</v>
      </c>
      <c r="NL6" s="5">
        <v>1</v>
      </c>
      <c r="NM6" s="47">
        <v>1</v>
      </c>
      <c r="NN6" s="25">
        <f t="shared" si="121"/>
        <v>36</v>
      </c>
      <c r="NO6" s="25">
        <f t="shared" si="176"/>
        <v>63</v>
      </c>
      <c r="NP6" s="47">
        <v>4</v>
      </c>
      <c r="NQ6" s="25">
        <f>IF(NL6,baseBetterNumbers(NP6*$DD6),IF(NK6,NQ5,0))</f>
        <v>3200</v>
      </c>
      <c r="NR6" s="2">
        <v>1.5</v>
      </c>
      <c r="NS6" s="25">
        <f>IF(NL6,baseBetterNumbers(NR6*$DG6),IF(NK6-1,NS5,0))</f>
        <v>0</v>
      </c>
      <c r="NT6" s="33" t="str">
        <f t="shared" si="122"/>
        <v>1h 0m</v>
      </c>
      <c r="NU6" s="46">
        <v>1</v>
      </c>
      <c r="NV6" s="25">
        <f>IF(NL6,baseBetterNumbers(NU6*$DK6),IF(NK6,NV5,0))</f>
        <v>3600</v>
      </c>
      <c r="NW6" s="47">
        <v>2</v>
      </c>
      <c r="NX6" s="25">
        <f t="shared" ref="NX6:NX17" si="191">NX5*NW6</f>
        <v>160</v>
      </c>
      <c r="NY6" s="1">
        <f t="shared" si="123"/>
        <v>320</v>
      </c>
      <c r="NZ6" s="1" t="e">
        <f>G6+AJ6*DT6+AL6*EK6+AN6*FE6+AP6*FV6+AR6*GP6+AT6*HG6+AV6*IA6+AX6*IQ6+AZ6*JP6+BD6*KT6+BF6*LI6+BH6*LX6+BJ6*MM6+BL6*NB6+BR6*OH6+BT6*OW6+BV6*#REF!+BX6*#REF!+BZ6*QB6+#REF!*#REF!+#REF!*#REF!</f>
        <v>#REF!</v>
      </c>
      <c r="OB6" s="8">
        <f t="shared" si="177"/>
        <v>1</v>
      </c>
      <c r="OC6" s="5">
        <v>1</v>
      </c>
      <c r="OD6" s="47">
        <v>1</v>
      </c>
      <c r="OE6" s="25">
        <f t="shared" si="124"/>
        <v>36</v>
      </c>
      <c r="OF6" s="25">
        <f t="shared" si="178"/>
        <v>36</v>
      </c>
      <c r="OG6" s="47">
        <v>2</v>
      </c>
      <c r="OH6" s="25">
        <f t="shared" si="125"/>
        <v>18</v>
      </c>
      <c r="OI6" s="47">
        <v>10</v>
      </c>
      <c r="OJ6" s="25">
        <f t="shared" si="126"/>
        <v>8000</v>
      </c>
      <c r="OK6" s="2">
        <v>1.5</v>
      </c>
      <c r="OL6" s="25">
        <f t="shared" si="179"/>
        <v>0</v>
      </c>
      <c r="OM6" s="33" t="str">
        <f t="shared" si="127"/>
        <v>3h 0m</v>
      </c>
      <c r="ON6" s="46">
        <v>3</v>
      </c>
      <c r="OO6" s="25">
        <f t="shared" si="128"/>
        <v>10800</v>
      </c>
      <c r="OP6" s="7"/>
      <c r="OQ6" s="8">
        <f t="shared" si="180"/>
        <v>1</v>
      </c>
      <c r="OR6" s="5">
        <v>1</v>
      </c>
      <c r="OS6" s="47">
        <v>1</v>
      </c>
      <c r="OT6" s="25">
        <f t="shared" si="129"/>
        <v>36</v>
      </c>
      <c r="OU6" s="25">
        <f t="shared" si="181"/>
        <v>36</v>
      </c>
      <c r="OV6" s="47">
        <v>2</v>
      </c>
      <c r="OW6" s="25">
        <f t="shared" si="130"/>
        <v>18</v>
      </c>
      <c r="OX6" s="47">
        <v>12</v>
      </c>
      <c r="OY6" s="25">
        <f t="shared" si="131"/>
        <v>9600</v>
      </c>
      <c r="OZ6" s="2">
        <v>1.5</v>
      </c>
      <c r="PA6" s="25">
        <f t="shared" si="182"/>
        <v>0</v>
      </c>
      <c r="PB6" s="33" t="str">
        <f t="shared" si="132"/>
        <v>5h 0m</v>
      </c>
      <c r="PC6" s="46">
        <v>5</v>
      </c>
      <c r="PD6" s="25">
        <f t="shared" si="133"/>
        <v>18000</v>
      </c>
      <c r="PE6" s="82">
        <v>0.75</v>
      </c>
      <c r="PF6" s="82">
        <v>0.5</v>
      </c>
      <c r="PG6" s="78" t="str">
        <f>secToTime(PH6)</f>
        <v>5h 0m</v>
      </c>
      <c r="PH6" s="25">
        <v>18000</v>
      </c>
      <c r="PI6" s="47">
        <v>2</v>
      </c>
      <c r="PJ6" s="25">
        <f>baseBetterNumbers(DD6*PI6)</f>
        <v>1600</v>
      </c>
      <c r="PK6" s="82">
        <v>0.5</v>
      </c>
      <c r="PL6" s="82">
        <v>0</v>
      </c>
      <c r="PM6" s="25">
        <v>0</v>
      </c>
      <c r="PN6" s="78" t="str">
        <f>secToTime(PO6)</f>
        <v>20h 0m</v>
      </c>
      <c r="PO6" s="25">
        <f>PH6*4</f>
        <v>72000</v>
      </c>
      <c r="PP6" s="47">
        <v>10</v>
      </c>
      <c r="PQ6" s="25">
        <f>baseBetterNumbers(DD6*PP6)</f>
        <v>8000</v>
      </c>
      <c r="PR6" s="82">
        <v>1</v>
      </c>
      <c r="PS6" s="82">
        <v>0.25</v>
      </c>
      <c r="PT6" s="82">
        <v>0</v>
      </c>
      <c r="PU6" s="25"/>
      <c r="PV6" s="5">
        <v>0</v>
      </c>
      <c r="PW6" s="5">
        <v>0</v>
      </c>
      <c r="PX6" s="5"/>
      <c r="PY6" s="25">
        <f>IF(PW6,cio2StepsChangesX(PY5,BZ6,Conf!BM$40,Conf!BM$41,Conf!BN$39,Conf!BN$40,Conf!BN$41),PY5)</f>
        <v>0</v>
      </c>
      <c r="PZ6" s="25">
        <f t="shared" si="183"/>
        <v>0</v>
      </c>
      <c r="QA6" s="25"/>
      <c r="QB6" s="3">
        <f>IF(PW6,cio2StepsChangesX(QB5,PV6,Conf!BM$46,Conf!BM$47,Conf!BN$45,Conf!BN$46,Conf!BN$47),QB5)</f>
        <v>0</v>
      </c>
      <c r="QC6" s="3"/>
      <c r="QD6" s="3">
        <f>IF(PW6,cio2StepsChangesX(QD5,PV6,Conf!BY$18,Conf!BY$19,Conf!BZ$17,Conf!BZ$18,Conf!BZ$19),QD5)</f>
        <v>0</v>
      </c>
      <c r="QE6" s="20"/>
      <c r="QF6" s="3">
        <f>IF(PW6,cioCFTiPrice(QF5,PV6),QF5)</f>
        <v>0</v>
      </c>
      <c r="QG6" s="33" t="str">
        <f t="shared" ref="QG6:QG11" si="192">secToTime(QI6)</f>
        <v>0h 0m</v>
      </c>
      <c r="QH6" s="33"/>
      <c r="QI6" s="7">
        <f>cioUpTime(Conf!E$57,A6,QD6)</f>
        <v>0</v>
      </c>
    </row>
    <row r="7" spans="1:451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-AC7+E7+AJ7*DR7+AL7*EI7+AN7*FC7+AP7*FT7+AR7*GN7+AT7*HE7+AV7*HY7+AX7*IO7+AZ7*JN7+BD7*KR7+BF7*LG7+BH7*LV7+BJ7*MK7+BL7*MZ7+BP7*NO7+BR7*OF7+BT7*OU7+BV7*#REF!+BX7*#REF!+BZ7*PZ7+#REF!*#REF!+#REF!*#REF!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4"/>
        <v>1.5</v>
      </c>
      <c r="DB7" s="3">
        <f t="shared" si="20"/>
        <v>14</v>
      </c>
      <c r="DC7" s="3">
        <f t="shared" si="185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3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7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9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90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3</v>
      </c>
      <c r="JA7" s="25">
        <v>0</v>
      </c>
      <c r="JB7" s="25">
        <v>0</v>
      </c>
      <c r="JC7" s="25">
        <f t="shared" si="155"/>
        <v>0</v>
      </c>
      <c r="JD7" s="25">
        <f t="shared" si="156"/>
        <v>0</v>
      </c>
      <c r="JE7" s="25">
        <f t="shared" si="157"/>
        <v>0</v>
      </c>
      <c r="JF7" s="25"/>
      <c r="JG7" s="25"/>
      <c r="JH7" s="25"/>
      <c r="JI7" s="7"/>
      <c r="JJ7" s="8">
        <f t="shared" si="158"/>
        <v>0</v>
      </c>
      <c r="JK7" s="8">
        <v>0</v>
      </c>
      <c r="JL7" s="47">
        <v>1</v>
      </c>
      <c r="JM7" s="25">
        <f t="shared" si="83"/>
        <v>0</v>
      </c>
      <c r="JN7" s="25">
        <f t="shared" si="159"/>
        <v>0</v>
      </c>
      <c r="JO7" s="47">
        <v>2</v>
      </c>
      <c r="JP7" s="25">
        <f t="shared" si="84"/>
        <v>0</v>
      </c>
      <c r="JQ7" s="47">
        <v>2.5</v>
      </c>
      <c r="JR7" s="25">
        <f t="shared" si="85"/>
        <v>0</v>
      </c>
      <c r="JS7" s="2">
        <v>2.5</v>
      </c>
      <c r="JT7" s="25">
        <f t="shared" si="86"/>
        <v>0</v>
      </c>
      <c r="JU7" s="33" t="str">
        <f t="shared" si="87"/>
        <v>0h 0m</v>
      </c>
      <c r="JV7" s="46">
        <v>3.5</v>
      </c>
      <c r="JW7" s="25">
        <f t="shared" si="88"/>
        <v>0</v>
      </c>
      <c r="JX7" s="7"/>
      <c r="JY7" s="8">
        <f t="shared" si="89"/>
        <v>1</v>
      </c>
      <c r="JZ7" s="5">
        <v>0</v>
      </c>
      <c r="KA7" s="47">
        <v>1</v>
      </c>
      <c r="KB7" s="25">
        <f t="shared" si="90"/>
        <v>0</v>
      </c>
      <c r="KC7" s="25">
        <f t="shared" si="160"/>
        <v>0</v>
      </c>
      <c r="KD7" s="47">
        <v>1</v>
      </c>
      <c r="KE7" s="25">
        <f t="shared" si="91"/>
        <v>0</v>
      </c>
      <c r="KF7" s="47">
        <v>1.5</v>
      </c>
      <c r="KG7" s="25">
        <f>IF(JZ7,baseBetterNumbers(KF7*$DD7),IF(JY7-1,KG6,0))</f>
        <v>0</v>
      </c>
      <c r="KH7" s="2">
        <v>1.5</v>
      </c>
      <c r="KI7" s="25">
        <f t="shared" si="92"/>
        <v>0</v>
      </c>
      <c r="KJ7" s="33" t="str">
        <f t="shared" si="93"/>
        <v>0h 0m</v>
      </c>
      <c r="KK7" s="46">
        <v>1</v>
      </c>
      <c r="KL7" s="25">
        <f t="shared" si="94"/>
        <v>0</v>
      </c>
      <c r="KM7" s="7"/>
      <c r="KN7" s="8">
        <f t="shared" si="161"/>
        <v>5</v>
      </c>
      <c r="KO7" s="8">
        <v>1</v>
      </c>
      <c r="KP7" s="47">
        <v>1</v>
      </c>
      <c r="KQ7" s="25">
        <f t="shared" si="95"/>
        <v>72</v>
      </c>
      <c r="KR7" s="25">
        <f t="shared" si="162"/>
        <v>137</v>
      </c>
      <c r="KS7" s="47">
        <v>1</v>
      </c>
      <c r="KT7" s="25">
        <f t="shared" si="96"/>
        <v>14</v>
      </c>
      <c r="KU7" s="47">
        <v>1.5</v>
      </c>
      <c r="KV7" s="25">
        <f t="shared" si="97"/>
        <v>2400</v>
      </c>
      <c r="KW7" s="2">
        <v>1.5</v>
      </c>
      <c r="KX7" s="25">
        <f t="shared" si="98"/>
        <v>0</v>
      </c>
      <c r="KY7" s="33" t="str">
        <f t="shared" si="99"/>
        <v>2h 0m</v>
      </c>
      <c r="KZ7" s="46">
        <v>1</v>
      </c>
      <c r="LA7" s="25">
        <f t="shared" si="100"/>
        <v>7200</v>
      </c>
      <c r="LB7" s="7"/>
      <c r="LC7" s="8">
        <f t="shared" si="163"/>
        <v>0</v>
      </c>
      <c r="LD7" s="5">
        <v>0</v>
      </c>
      <c r="LE7" s="47">
        <v>1</v>
      </c>
      <c r="LF7" s="25">
        <f t="shared" si="101"/>
        <v>0</v>
      </c>
      <c r="LG7" s="25">
        <f t="shared" si="164"/>
        <v>0</v>
      </c>
      <c r="LH7" s="47">
        <v>1</v>
      </c>
      <c r="LI7" s="25">
        <f t="shared" si="102"/>
        <v>0</v>
      </c>
      <c r="LJ7" s="47">
        <v>1.5</v>
      </c>
      <c r="LK7" s="25">
        <f t="shared" si="103"/>
        <v>0</v>
      </c>
      <c r="LL7" s="2">
        <v>1.5</v>
      </c>
      <c r="LM7" s="25">
        <f t="shared" si="165"/>
        <v>0</v>
      </c>
      <c r="LN7" s="33" t="str">
        <f t="shared" si="104"/>
        <v>0h 0m</v>
      </c>
      <c r="LO7" s="46">
        <v>1</v>
      </c>
      <c r="LP7" s="25">
        <f t="shared" si="105"/>
        <v>0</v>
      </c>
      <c r="LQ7" s="7"/>
      <c r="LR7" s="8">
        <f t="shared" si="166"/>
        <v>0</v>
      </c>
      <c r="LS7" s="5">
        <v>0</v>
      </c>
      <c r="LT7" s="47">
        <v>1</v>
      </c>
      <c r="LU7" s="25">
        <f t="shared" si="106"/>
        <v>0</v>
      </c>
      <c r="LV7" s="25">
        <f t="shared" si="167"/>
        <v>0</v>
      </c>
      <c r="LW7" s="47">
        <v>1</v>
      </c>
      <c r="LX7" s="25">
        <f t="shared" si="107"/>
        <v>0</v>
      </c>
      <c r="LY7" s="47">
        <v>1.5</v>
      </c>
      <c r="LZ7" s="25">
        <f t="shared" si="108"/>
        <v>0</v>
      </c>
      <c r="MA7" s="2">
        <v>1.5</v>
      </c>
      <c r="MB7" s="25">
        <f t="shared" si="168"/>
        <v>0</v>
      </c>
      <c r="MC7" s="33" t="str">
        <f t="shared" si="109"/>
        <v>0h 0m</v>
      </c>
      <c r="MD7" s="46">
        <v>1</v>
      </c>
      <c r="ME7" s="25">
        <f t="shared" si="110"/>
        <v>0</v>
      </c>
      <c r="MF7" s="7"/>
      <c r="MG7" s="8">
        <f t="shared" si="169"/>
        <v>0</v>
      </c>
      <c r="MH7" s="5">
        <v>0</v>
      </c>
      <c r="MI7" s="47">
        <v>1</v>
      </c>
      <c r="MJ7" s="25">
        <f t="shared" si="111"/>
        <v>0</v>
      </c>
      <c r="MK7" s="25">
        <f t="shared" si="170"/>
        <v>0</v>
      </c>
      <c r="ML7" s="47">
        <v>1</v>
      </c>
      <c r="MM7" s="25">
        <f t="shared" si="112"/>
        <v>0</v>
      </c>
      <c r="MN7" s="47">
        <v>1.5</v>
      </c>
      <c r="MO7" s="25">
        <f t="shared" si="113"/>
        <v>0</v>
      </c>
      <c r="MP7" s="2">
        <v>1.5</v>
      </c>
      <c r="MQ7" s="25">
        <f t="shared" si="171"/>
        <v>0</v>
      </c>
      <c r="MR7" s="33" t="str">
        <f t="shared" si="114"/>
        <v>0h 0m</v>
      </c>
      <c r="MS7" s="46">
        <v>1</v>
      </c>
      <c r="MT7" s="25">
        <f t="shared" si="115"/>
        <v>0</v>
      </c>
      <c r="MU7" s="7"/>
      <c r="MV7" s="8">
        <f t="shared" si="172"/>
        <v>3</v>
      </c>
      <c r="MW7" s="5">
        <v>1</v>
      </c>
      <c r="MX7" s="47">
        <v>1</v>
      </c>
      <c r="MY7" s="25">
        <f t="shared" si="116"/>
        <v>72</v>
      </c>
      <c r="MZ7" s="25">
        <f t="shared" si="173"/>
        <v>126</v>
      </c>
      <c r="NA7" s="47">
        <v>1.5</v>
      </c>
      <c r="NB7" s="25">
        <f t="shared" si="117"/>
        <v>21</v>
      </c>
      <c r="NC7" s="47">
        <v>4</v>
      </c>
      <c r="ND7" s="25">
        <f t="shared" si="118"/>
        <v>6400</v>
      </c>
      <c r="NE7" s="2">
        <v>1.5</v>
      </c>
      <c r="NF7" s="25">
        <f t="shared" si="174"/>
        <v>0</v>
      </c>
      <c r="NG7" s="33" t="str">
        <f t="shared" si="119"/>
        <v>2h 0m</v>
      </c>
      <c r="NH7" s="46">
        <v>1</v>
      </c>
      <c r="NI7" s="25">
        <f t="shared" si="120"/>
        <v>7200</v>
      </c>
      <c r="NJ7" s="7"/>
      <c r="NK7" s="8">
        <f t="shared" si="175"/>
        <v>4</v>
      </c>
      <c r="NL7" s="5">
        <v>1</v>
      </c>
      <c r="NM7" s="47">
        <v>1</v>
      </c>
      <c r="NN7" s="25">
        <f t="shared" si="121"/>
        <v>72</v>
      </c>
      <c r="NO7" s="25">
        <f t="shared" si="176"/>
        <v>135</v>
      </c>
      <c r="NP7" s="47">
        <v>4</v>
      </c>
      <c r="NQ7" s="25">
        <f>IF(NL7,baseBetterNumbers(NP7*$DD7),IF(NK7,NQ6,0))</f>
        <v>6400</v>
      </c>
      <c r="NR7" s="2">
        <v>1.5</v>
      </c>
      <c r="NS7" s="25">
        <f>IF(NL7,baseBetterNumbers(NR7*$DG7),IF(NK7-1,NS6,0))</f>
        <v>0</v>
      </c>
      <c r="NT7" s="33" t="str">
        <f t="shared" si="122"/>
        <v>2h 0m</v>
      </c>
      <c r="NU7" s="46">
        <v>1</v>
      </c>
      <c r="NV7" s="25">
        <f>IF(NL7,baseBetterNumbers(NU7*$DK7),IF(NK7,NV6,0))</f>
        <v>7200</v>
      </c>
      <c r="NW7" s="47">
        <v>2</v>
      </c>
      <c r="NX7" s="25">
        <f t="shared" si="191"/>
        <v>320</v>
      </c>
      <c r="NY7" s="1">
        <f t="shared" si="123"/>
        <v>640</v>
      </c>
      <c r="NZ7" s="1" t="e">
        <f>G7+AJ7*DT7+AL7*EK7+AN7*FE7+AP7*FV7+AR7*GP7+AT7*HG7+AV7*IA7+AX7*IQ7+AZ7*JP7+BD7*KT7+BF7*LI7+BH7*LX7+BJ7*MM7+BL7*NB7+BR7*OH7+BT7*OW7+BV7*#REF!+BX7*#REF!+BZ7*QB7+#REF!*#REF!+#REF!*#REF!</f>
        <v>#REF!</v>
      </c>
      <c r="OB7" s="8">
        <f t="shared" si="177"/>
        <v>2</v>
      </c>
      <c r="OC7" s="5">
        <v>1</v>
      </c>
      <c r="OD7" s="47">
        <v>1</v>
      </c>
      <c r="OE7" s="25">
        <f t="shared" si="124"/>
        <v>72</v>
      </c>
      <c r="OF7" s="25">
        <f t="shared" si="178"/>
        <v>108</v>
      </c>
      <c r="OG7" s="47">
        <v>2</v>
      </c>
      <c r="OH7" s="25">
        <f t="shared" si="125"/>
        <v>28</v>
      </c>
      <c r="OI7" s="47">
        <v>10</v>
      </c>
      <c r="OJ7" s="25">
        <f t="shared" si="126"/>
        <v>16000</v>
      </c>
      <c r="OK7" s="2">
        <v>1.5</v>
      </c>
      <c r="OL7" s="25">
        <f t="shared" si="179"/>
        <v>0</v>
      </c>
      <c r="OM7" s="33" t="str">
        <f t="shared" si="127"/>
        <v>6h 0m</v>
      </c>
      <c r="ON7" s="46">
        <v>3</v>
      </c>
      <c r="OO7" s="25">
        <f t="shared" si="128"/>
        <v>21600</v>
      </c>
      <c r="OP7" s="7"/>
      <c r="OQ7" s="8">
        <f t="shared" si="180"/>
        <v>2</v>
      </c>
      <c r="OR7" s="5">
        <v>1</v>
      </c>
      <c r="OS7" s="47">
        <v>1</v>
      </c>
      <c r="OT7" s="25">
        <f t="shared" si="129"/>
        <v>72</v>
      </c>
      <c r="OU7" s="25">
        <f t="shared" si="181"/>
        <v>108</v>
      </c>
      <c r="OV7" s="47">
        <v>2</v>
      </c>
      <c r="OW7" s="25">
        <f t="shared" si="130"/>
        <v>28</v>
      </c>
      <c r="OX7" s="47">
        <v>12</v>
      </c>
      <c r="OY7" s="25">
        <f t="shared" si="131"/>
        <v>19200</v>
      </c>
      <c r="OZ7" s="2">
        <v>1.5</v>
      </c>
      <c r="PA7" s="25">
        <f t="shared" si="182"/>
        <v>0</v>
      </c>
      <c r="PB7" s="33" t="str">
        <f t="shared" si="132"/>
        <v>10h 0m</v>
      </c>
      <c r="PC7" s="46">
        <v>5</v>
      </c>
      <c r="PD7" s="25">
        <f t="shared" si="133"/>
        <v>36000</v>
      </c>
      <c r="PE7" s="82">
        <f>PE6-0.05</f>
        <v>0.7</v>
      </c>
      <c r="PF7" s="82">
        <v>0.5</v>
      </c>
      <c r="PG7" s="78" t="str">
        <f t="shared" ref="PG7:PG17" si="194">secToTime(PH7)</f>
        <v>5h 0m</v>
      </c>
      <c r="PH7" s="25">
        <v>18000</v>
      </c>
      <c r="PI7" s="47">
        <v>2</v>
      </c>
      <c r="PJ7" s="25">
        <f>baseBetterNumbers(DD7*PI7)</f>
        <v>3200</v>
      </c>
      <c r="PK7" s="82">
        <f>PK6+0.05</f>
        <v>0.55000000000000004</v>
      </c>
      <c r="PL7" s="82">
        <v>0</v>
      </c>
      <c r="PM7" s="25">
        <v>0</v>
      </c>
      <c r="PN7" s="78" t="str">
        <f t="shared" ref="PN7:PN17" si="195">secToTime(PO7)</f>
        <v>20h 0m</v>
      </c>
      <c r="PO7" s="25">
        <f t="shared" ref="PO7:PO17" si="196">PH7*4</f>
        <v>72000</v>
      </c>
      <c r="PP7" s="47">
        <v>10</v>
      </c>
      <c r="PQ7" s="25">
        <f>baseBetterNumbers(DD7*PP7)</f>
        <v>16000</v>
      </c>
      <c r="PR7" s="82">
        <v>1</v>
      </c>
      <c r="PS7" s="82">
        <f>PS6+0.05</f>
        <v>0.3</v>
      </c>
      <c r="PT7" s="82">
        <v>0</v>
      </c>
      <c r="PU7" s="25"/>
      <c r="PV7" s="8">
        <v>0</v>
      </c>
      <c r="PW7" s="8">
        <v>0</v>
      </c>
      <c r="PX7" s="8"/>
      <c r="PY7" s="25">
        <f>IF(PW7,cio2StepsChangesX(PY6,BZ7,Conf!BM$40,Conf!BM$41,Conf!BN$39,Conf!BN$40,Conf!BN$41),PY6)</f>
        <v>0</v>
      </c>
      <c r="PZ7" s="25">
        <f t="shared" si="183"/>
        <v>0</v>
      </c>
      <c r="QA7" s="25"/>
      <c r="QB7" s="3">
        <f>IF(PW7,cio2StepsChangesX(QB6,PV7,Conf!BM$46,Conf!BM$47,Conf!BN$45,Conf!BN$46,Conf!BN$47),QB6)</f>
        <v>0</v>
      </c>
      <c r="QC7" s="3"/>
      <c r="QD7" s="3">
        <f>IF(PW7,cio2StepsChangesX(QD6,PV7,Conf!BY$18,Conf!BY$19,Conf!BZ$17,Conf!BZ$18,Conf!BZ$19),QD6)</f>
        <v>0</v>
      </c>
      <c r="QE7" s="20"/>
      <c r="QF7" s="3">
        <f>IF(PW7,cioCFTiPrice(QF6,PV7),QF6)</f>
        <v>0</v>
      </c>
      <c r="QG7" s="33" t="str">
        <f t="shared" si="192"/>
        <v>0h 0m</v>
      </c>
      <c r="QH7" s="33"/>
      <c r="QI7" s="7">
        <f>cioUpTime(Conf!E$57,A7,QD7)</f>
        <v>0</v>
      </c>
    </row>
    <row r="8" spans="1:451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-AC8+E8+AJ8*DR8+AL8*EI8+AN8*FC8+AP8*FT8+AR8*GN8+AT8*HE8+AV8*HY8+AX8*IO8+AZ8*JN8+BD8*KR8+BF8*LG8+BH8*LV8+BJ8*MK8+BL8*MZ8+BP8*NO8+BR8*OF8+BT8*OU8+BV8*#REF!+BX8*#REF!+BZ8*PZ8+#REF!*#REF!+#REF!*#REF!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4"/>
        <v>1.5</v>
      </c>
      <c r="DB8" s="3">
        <f t="shared" si="20"/>
        <v>21</v>
      </c>
      <c r="DC8" s="3">
        <f t="shared" si="185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3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6"/>
        <v>1.5</v>
      </c>
      <c r="ET8" s="3">
        <f t="shared" si="38"/>
        <v>1800</v>
      </c>
      <c r="EU8" s="7">
        <f t="shared" si="187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8"/>
        <v>1.5</v>
      </c>
      <c r="GE8" s="3">
        <f t="shared" si="54"/>
        <v>1800</v>
      </c>
      <c r="GF8" s="7">
        <f t="shared" si="189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90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f>IY7+2</f>
        <v>5</v>
      </c>
      <c r="IZ8" s="25">
        <v>5</v>
      </c>
      <c r="JA8" s="25">
        <v>0</v>
      </c>
      <c r="JB8" s="25">
        <v>0</v>
      </c>
      <c r="JC8" s="25">
        <f t="shared" si="155"/>
        <v>0</v>
      </c>
      <c r="JD8" s="25">
        <f t="shared" si="156"/>
        <v>0</v>
      </c>
      <c r="JE8" s="25">
        <f t="shared" si="157"/>
        <v>0</v>
      </c>
      <c r="JF8" s="25"/>
      <c r="JG8" s="25"/>
      <c r="JH8" s="25"/>
      <c r="JI8" s="7"/>
      <c r="JJ8" s="8">
        <f t="shared" si="158"/>
        <v>1</v>
      </c>
      <c r="JK8" s="5">
        <v>1</v>
      </c>
      <c r="JL8" s="47">
        <v>1</v>
      </c>
      <c r="JM8" s="25">
        <f t="shared" si="83"/>
        <v>72</v>
      </c>
      <c r="JN8" s="25">
        <f t="shared" si="159"/>
        <v>72</v>
      </c>
      <c r="JO8" s="47">
        <v>0.5</v>
      </c>
      <c r="JP8" s="25">
        <f t="shared" si="84"/>
        <v>10</v>
      </c>
      <c r="JQ8" s="47">
        <v>2.5</v>
      </c>
      <c r="JR8" s="25">
        <f t="shared" si="85"/>
        <v>8000</v>
      </c>
      <c r="JS8" s="2">
        <v>2.5</v>
      </c>
      <c r="JT8" s="25">
        <f t="shared" si="86"/>
        <v>0</v>
      </c>
      <c r="JU8" s="33" t="str">
        <f t="shared" si="87"/>
        <v>6h 0m</v>
      </c>
      <c r="JV8" s="46">
        <v>1.5</v>
      </c>
      <c r="JW8" s="25">
        <f t="shared" si="88"/>
        <v>21600</v>
      </c>
      <c r="JX8" s="7"/>
      <c r="JY8" s="8">
        <f t="shared" si="89"/>
        <v>1</v>
      </c>
      <c r="JZ8" s="5">
        <v>0</v>
      </c>
      <c r="KA8" s="47">
        <v>1</v>
      </c>
      <c r="KB8" s="25">
        <f t="shared" si="90"/>
        <v>0</v>
      </c>
      <c r="KC8" s="25">
        <f t="shared" si="160"/>
        <v>0</v>
      </c>
      <c r="KD8" s="47">
        <v>1</v>
      </c>
      <c r="KE8" s="25">
        <f t="shared" si="91"/>
        <v>0</v>
      </c>
      <c r="KF8" s="47">
        <v>1.5</v>
      </c>
      <c r="KG8" s="25">
        <f>IF(JZ8,baseBetterNumbers(KF8*$DD8),IF(JY8-1,KG7,0))</f>
        <v>0</v>
      </c>
      <c r="KH8" s="2">
        <v>1.5</v>
      </c>
      <c r="KI8" s="25">
        <f t="shared" si="92"/>
        <v>0</v>
      </c>
      <c r="KJ8" s="33" t="str">
        <f t="shared" si="93"/>
        <v>0h 0m</v>
      </c>
      <c r="KK8" s="46">
        <v>1</v>
      </c>
      <c r="KL8" s="25">
        <f t="shared" si="94"/>
        <v>0</v>
      </c>
      <c r="KM8" s="7"/>
      <c r="KN8" s="8">
        <f t="shared" si="161"/>
        <v>6</v>
      </c>
      <c r="KO8" s="5">
        <v>1</v>
      </c>
      <c r="KP8" s="47">
        <v>1</v>
      </c>
      <c r="KQ8" s="25">
        <f t="shared" si="95"/>
        <v>72</v>
      </c>
      <c r="KR8" s="25">
        <f t="shared" si="162"/>
        <v>209</v>
      </c>
      <c r="KS8" s="47">
        <v>1</v>
      </c>
      <c r="KT8" s="25">
        <f t="shared" si="96"/>
        <v>21</v>
      </c>
      <c r="KU8" s="47">
        <v>1.5</v>
      </c>
      <c r="KV8" s="25">
        <f t="shared" si="97"/>
        <v>4800</v>
      </c>
      <c r="KW8" s="2">
        <v>1.5</v>
      </c>
      <c r="KX8" s="25">
        <f t="shared" si="98"/>
        <v>0</v>
      </c>
      <c r="KY8" s="33" t="str">
        <f t="shared" si="99"/>
        <v>4h 0m</v>
      </c>
      <c r="KZ8" s="46">
        <v>1</v>
      </c>
      <c r="LA8" s="25">
        <f t="shared" si="100"/>
        <v>14400</v>
      </c>
      <c r="LB8" s="7"/>
      <c r="LC8" s="8">
        <f t="shared" si="163"/>
        <v>0</v>
      </c>
      <c r="LD8" s="5">
        <v>0</v>
      </c>
      <c r="LE8" s="47">
        <v>1</v>
      </c>
      <c r="LF8" s="25">
        <f t="shared" si="101"/>
        <v>0</v>
      </c>
      <c r="LG8" s="25">
        <f t="shared" si="164"/>
        <v>0</v>
      </c>
      <c r="LH8" s="47">
        <v>1</v>
      </c>
      <c r="LI8" s="25">
        <f t="shared" si="102"/>
        <v>0</v>
      </c>
      <c r="LJ8" s="47">
        <v>1.5</v>
      </c>
      <c r="LK8" s="25">
        <f t="shared" si="103"/>
        <v>0</v>
      </c>
      <c r="LL8" s="2">
        <v>1.5</v>
      </c>
      <c r="LM8" s="25">
        <f t="shared" si="165"/>
        <v>0</v>
      </c>
      <c r="LN8" s="33" t="str">
        <f t="shared" si="104"/>
        <v>0h 0m</v>
      </c>
      <c r="LO8" s="46">
        <v>1</v>
      </c>
      <c r="LP8" s="25">
        <f t="shared" si="105"/>
        <v>0</v>
      </c>
      <c r="LQ8" s="7"/>
      <c r="LR8" s="8">
        <f t="shared" si="166"/>
        <v>0</v>
      </c>
      <c r="LS8" s="5">
        <v>0</v>
      </c>
      <c r="LT8" s="47">
        <v>1</v>
      </c>
      <c r="LU8" s="25">
        <f t="shared" si="106"/>
        <v>0</v>
      </c>
      <c r="LV8" s="25">
        <f t="shared" si="167"/>
        <v>0</v>
      </c>
      <c r="LW8" s="47">
        <v>1</v>
      </c>
      <c r="LX8" s="25">
        <f t="shared" si="107"/>
        <v>0</v>
      </c>
      <c r="LY8" s="47">
        <v>1.5</v>
      </c>
      <c r="LZ8" s="25">
        <f t="shared" si="108"/>
        <v>0</v>
      </c>
      <c r="MA8" s="2">
        <v>1.5</v>
      </c>
      <c r="MB8" s="25">
        <f t="shared" si="168"/>
        <v>0</v>
      </c>
      <c r="MC8" s="33" t="str">
        <f t="shared" si="109"/>
        <v>0h 0m</v>
      </c>
      <c r="MD8" s="46">
        <v>1</v>
      </c>
      <c r="ME8" s="25">
        <f t="shared" si="110"/>
        <v>0</v>
      </c>
      <c r="MF8" s="7"/>
      <c r="MG8" s="8">
        <f t="shared" si="169"/>
        <v>0</v>
      </c>
      <c r="MH8" s="5">
        <v>0</v>
      </c>
      <c r="MI8" s="47">
        <v>1</v>
      </c>
      <c r="MJ8" s="25">
        <f t="shared" si="111"/>
        <v>0</v>
      </c>
      <c r="MK8" s="25">
        <f t="shared" si="170"/>
        <v>0</v>
      </c>
      <c r="ML8" s="47">
        <v>1</v>
      </c>
      <c r="MM8" s="25">
        <f t="shared" si="112"/>
        <v>0</v>
      </c>
      <c r="MN8" s="47">
        <v>1.5</v>
      </c>
      <c r="MO8" s="25">
        <f t="shared" si="113"/>
        <v>0</v>
      </c>
      <c r="MP8" s="2">
        <v>1.5</v>
      </c>
      <c r="MQ8" s="25">
        <f t="shared" si="171"/>
        <v>0</v>
      </c>
      <c r="MR8" s="33" t="str">
        <f t="shared" si="114"/>
        <v>0h 0m</v>
      </c>
      <c r="MS8" s="46">
        <v>1</v>
      </c>
      <c r="MT8" s="25">
        <f t="shared" si="115"/>
        <v>0</v>
      </c>
      <c r="MU8" s="7"/>
      <c r="MV8" s="8">
        <f t="shared" si="172"/>
        <v>4</v>
      </c>
      <c r="MW8" s="5">
        <v>1</v>
      </c>
      <c r="MX8" s="47">
        <v>1</v>
      </c>
      <c r="MY8" s="25">
        <f t="shared" si="116"/>
        <v>72</v>
      </c>
      <c r="MZ8" s="25">
        <f t="shared" si="173"/>
        <v>198</v>
      </c>
      <c r="NA8" s="47">
        <v>1.5</v>
      </c>
      <c r="NB8" s="25">
        <f t="shared" si="117"/>
        <v>32</v>
      </c>
      <c r="NC8" s="47">
        <v>4</v>
      </c>
      <c r="ND8" s="25">
        <f t="shared" si="118"/>
        <v>12800</v>
      </c>
      <c r="NE8" s="2">
        <v>1.5</v>
      </c>
      <c r="NF8" s="25">
        <f t="shared" si="174"/>
        <v>0</v>
      </c>
      <c r="NG8" s="33" t="str">
        <f t="shared" si="119"/>
        <v>4h 0m</v>
      </c>
      <c r="NH8" s="46">
        <v>1</v>
      </c>
      <c r="NI8" s="25">
        <f t="shared" si="120"/>
        <v>14400</v>
      </c>
      <c r="NJ8" s="7"/>
      <c r="NK8" s="8">
        <f t="shared" si="175"/>
        <v>5</v>
      </c>
      <c r="NL8" s="5">
        <v>1</v>
      </c>
      <c r="NM8" s="47">
        <v>1</v>
      </c>
      <c r="NN8" s="25">
        <f t="shared" si="121"/>
        <v>72</v>
      </c>
      <c r="NO8" s="25">
        <f t="shared" si="176"/>
        <v>207</v>
      </c>
      <c r="NP8" s="47">
        <v>4</v>
      </c>
      <c r="NQ8" s="25">
        <f>IF(NL8,baseBetterNumbers(NP8*$DD8),IF(NK8,NQ7,0))</f>
        <v>12800</v>
      </c>
      <c r="NR8" s="2">
        <v>1.5</v>
      </c>
      <c r="NS8" s="25">
        <f>IF(NL8,baseBetterNumbers(NR8*$DG8),IF(NK8-1,NS7,0))</f>
        <v>0</v>
      </c>
      <c r="NT8" s="33" t="str">
        <f t="shared" si="122"/>
        <v>4h 0m</v>
      </c>
      <c r="NU8" s="46">
        <v>1</v>
      </c>
      <c r="NV8" s="25">
        <f>IF(NL8,baseBetterNumbers(NU8*$DK8),IF(NK8,NV7,0))</f>
        <v>14400</v>
      </c>
      <c r="NW8" s="47">
        <v>1.5</v>
      </c>
      <c r="NX8" s="25">
        <f t="shared" si="191"/>
        <v>480</v>
      </c>
      <c r="NY8" s="1">
        <f t="shared" si="123"/>
        <v>960</v>
      </c>
      <c r="NZ8" s="1" t="e">
        <f>G8+AJ8*DT8+AL8*EK8+AN8*FE8+AP8*FV8+AR8*GP8+AT8*HG8+AV8*IA8+AX8*IQ8+AZ8*JP8+BD8*KT8+BF8*LI8+BH8*LX8+BJ8*MM8+BL8*NB8+BR8*OH8+BT8*OW8+BV8*#REF!+BX8*#REF!+BZ8*QB8+#REF!*#REF!+#REF!*#REF!</f>
        <v>#REF!</v>
      </c>
      <c r="OB8" s="8">
        <f t="shared" si="177"/>
        <v>3</v>
      </c>
      <c r="OC8" s="5">
        <v>1</v>
      </c>
      <c r="OD8" s="47">
        <v>1</v>
      </c>
      <c r="OE8" s="25">
        <f t="shared" si="124"/>
        <v>72</v>
      </c>
      <c r="OF8" s="25">
        <f t="shared" si="178"/>
        <v>180</v>
      </c>
      <c r="OG8" s="47">
        <v>2</v>
      </c>
      <c r="OH8" s="25">
        <f t="shared" si="125"/>
        <v>42</v>
      </c>
      <c r="OI8" s="47">
        <v>8</v>
      </c>
      <c r="OJ8" s="25">
        <f t="shared" si="126"/>
        <v>25600</v>
      </c>
      <c r="OK8" s="2">
        <v>1.5</v>
      </c>
      <c r="OL8" s="25">
        <f t="shared" si="179"/>
        <v>0</v>
      </c>
      <c r="OM8" s="33" t="str">
        <f t="shared" si="127"/>
        <v>8h 0m</v>
      </c>
      <c r="ON8" s="46">
        <v>2</v>
      </c>
      <c r="OO8" s="25">
        <f t="shared" si="128"/>
        <v>28800</v>
      </c>
      <c r="OP8" s="7"/>
      <c r="OQ8" s="8">
        <f t="shared" si="180"/>
        <v>3</v>
      </c>
      <c r="OR8" s="5">
        <v>1</v>
      </c>
      <c r="OS8" s="47">
        <v>1</v>
      </c>
      <c r="OT8" s="25">
        <f t="shared" si="129"/>
        <v>72</v>
      </c>
      <c r="OU8" s="25">
        <f t="shared" si="181"/>
        <v>180</v>
      </c>
      <c r="OV8" s="47">
        <v>2</v>
      </c>
      <c r="OW8" s="25">
        <f t="shared" si="130"/>
        <v>42</v>
      </c>
      <c r="OX8" s="47">
        <v>10</v>
      </c>
      <c r="OY8" s="25">
        <f t="shared" si="131"/>
        <v>32000</v>
      </c>
      <c r="OZ8" s="2">
        <v>1.5</v>
      </c>
      <c r="PA8" s="25">
        <f t="shared" si="182"/>
        <v>0</v>
      </c>
      <c r="PB8" s="33" t="str">
        <f t="shared" si="132"/>
        <v>16h 0m</v>
      </c>
      <c r="PC8" s="46">
        <v>4</v>
      </c>
      <c r="PD8" s="25">
        <f t="shared" si="133"/>
        <v>57600</v>
      </c>
      <c r="PE8" s="82">
        <f t="shared" ref="PE8:PE17" si="197">PE7-0.05</f>
        <v>0.64999999999999991</v>
      </c>
      <c r="PF8" s="82">
        <v>0.5</v>
      </c>
      <c r="PG8" s="78" t="str">
        <f t="shared" si="194"/>
        <v>5h 0m</v>
      </c>
      <c r="PH8" s="25">
        <v>18000</v>
      </c>
      <c r="PI8" s="47">
        <v>2</v>
      </c>
      <c r="PJ8" s="25">
        <f>baseBetterNumbers(DD8*PI8)</f>
        <v>6400</v>
      </c>
      <c r="PK8" s="82">
        <f t="shared" ref="PK8:PK17" si="198">PK7+0.05</f>
        <v>0.60000000000000009</v>
      </c>
      <c r="PL8" s="82">
        <v>0</v>
      </c>
      <c r="PM8" s="25">
        <v>0</v>
      </c>
      <c r="PN8" s="78" t="str">
        <f t="shared" si="195"/>
        <v>20h 0m</v>
      </c>
      <c r="PO8" s="25">
        <f t="shared" si="196"/>
        <v>72000</v>
      </c>
      <c r="PP8" s="47">
        <v>10</v>
      </c>
      <c r="PQ8" s="25">
        <f>baseBetterNumbers(DD8*PP8)</f>
        <v>32000</v>
      </c>
      <c r="PR8" s="82">
        <v>1</v>
      </c>
      <c r="PS8" s="82">
        <f t="shared" ref="PS8:PS17" si="199">PS7+0.05</f>
        <v>0.35</v>
      </c>
      <c r="PT8" s="82">
        <v>0.05</v>
      </c>
      <c r="PU8" s="25"/>
      <c r="PV8" s="5">
        <v>0</v>
      </c>
      <c r="PW8" s="5">
        <v>0</v>
      </c>
      <c r="PX8" s="5"/>
      <c r="PY8" s="25">
        <f>IF(PW8,cio2StepsChangesX(PY7,BZ8,Conf!BM$40,Conf!BM$41,Conf!BN$39,Conf!BN$40,Conf!BN$41),PY7)</f>
        <v>0</v>
      </c>
      <c r="PZ8" s="25">
        <f t="shared" si="183"/>
        <v>0</v>
      </c>
      <c r="QA8" s="25"/>
      <c r="QB8" s="3">
        <f>IF(PW8,cio2StepsChangesX(QB7,PV8,Conf!BM$46,Conf!BM$47,Conf!BN$45,Conf!BN$46,Conf!BN$47),QB7)</f>
        <v>0</v>
      </c>
      <c r="QC8" s="3"/>
      <c r="QD8" s="3">
        <f>IF(PW8,cio2StepsChangesX(QD7,PV8,Conf!BY$18,Conf!BY$19,Conf!BZ$17,Conf!BZ$18,Conf!BZ$19),QD7)</f>
        <v>0</v>
      </c>
      <c r="QE8" s="20"/>
      <c r="QF8" s="3">
        <f>IF(PW8,cioCFTiPrice(QF7,PV8),QF7)</f>
        <v>0</v>
      </c>
      <c r="QG8" s="33" t="str">
        <f t="shared" si="192"/>
        <v>0h 0m</v>
      </c>
      <c r="QH8" s="33"/>
      <c r="QI8" s="7">
        <f>cioUpTime(Conf!E$57,A8,QD8)</f>
        <v>0</v>
      </c>
    </row>
    <row r="9" spans="1:451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-AC9+E9+AJ9*DR9+AL9*EI9+AN9*FC9+AP9*FT9+AR9*GN9+AT9*HE9+AV9*HY9+AX9*IO9+AZ9*JN9+BD9*KR9+BF9*LG9+BH9*LV9+BJ9*MK9+BL9*MZ9+BP9*NO9+BR9*OF9+BT9*OU9+BV9*#REF!+BX9*#REF!+BZ9*PZ9+#REF!*#REF!+#REF!*#REF!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200">CX8</f>
        <v>0.5</v>
      </c>
      <c r="CY9" s="25">
        <f t="shared" si="10"/>
        <v>144</v>
      </c>
      <c r="CZ9" s="25">
        <f t="shared" si="19"/>
        <v>353</v>
      </c>
      <c r="DA9" s="47">
        <f t="shared" si="184"/>
        <v>1.5</v>
      </c>
      <c r="DB9" s="3">
        <f t="shared" si="20"/>
        <v>32</v>
      </c>
      <c r="DC9" s="3">
        <f t="shared" si="185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3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6"/>
        <v>1.5</v>
      </c>
      <c r="ET9" s="3">
        <f t="shared" si="38"/>
        <v>2700</v>
      </c>
      <c r="EU9" s="7">
        <f t="shared" si="187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8"/>
        <v>1.5</v>
      </c>
      <c r="GE9" s="3">
        <f t="shared" si="54"/>
        <v>2700</v>
      </c>
      <c r="GF9" s="7">
        <f t="shared" si="189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f t="shared" ref="IY9:IY17" si="201">IY8+2</f>
        <v>7</v>
      </c>
      <c r="IZ9" s="25">
        <v>7</v>
      </c>
      <c r="JA9" s="25">
        <v>0</v>
      </c>
      <c r="JB9" s="25">
        <v>0</v>
      </c>
      <c r="JC9" s="25">
        <f t="shared" si="155"/>
        <v>0</v>
      </c>
      <c r="JD9" s="25">
        <f t="shared" si="156"/>
        <v>0</v>
      </c>
      <c r="JE9" s="25">
        <f t="shared" si="157"/>
        <v>0</v>
      </c>
      <c r="JF9" s="25"/>
      <c r="JG9" s="25"/>
      <c r="JH9" s="25"/>
      <c r="JI9" s="7"/>
      <c r="JJ9" s="8">
        <f t="shared" si="158"/>
        <v>2</v>
      </c>
      <c r="JK9" s="8">
        <v>1</v>
      </c>
      <c r="JL9" s="47">
        <v>1</v>
      </c>
      <c r="JM9" s="25">
        <f t="shared" si="83"/>
        <v>144</v>
      </c>
      <c r="JN9" s="25">
        <f t="shared" si="159"/>
        <v>216</v>
      </c>
      <c r="JO9" s="47">
        <v>0.5</v>
      </c>
      <c r="JP9" s="25">
        <f t="shared" si="84"/>
        <v>16</v>
      </c>
      <c r="JQ9" s="47">
        <v>2.5</v>
      </c>
      <c r="JR9" s="25">
        <f t="shared" si="85"/>
        <v>16000</v>
      </c>
      <c r="JS9" s="2">
        <v>2.5</v>
      </c>
      <c r="JT9" s="25">
        <f t="shared" si="86"/>
        <v>0</v>
      </c>
      <c r="JU9" s="33" t="str">
        <f t="shared" si="87"/>
        <v>12h 0m</v>
      </c>
      <c r="JV9" s="46">
        <v>1.5</v>
      </c>
      <c r="JW9" s="25">
        <f t="shared" si="88"/>
        <v>43200</v>
      </c>
      <c r="JX9" s="7"/>
      <c r="JY9" s="8">
        <f t="shared" si="89"/>
        <v>1</v>
      </c>
      <c r="JZ9" s="5">
        <v>0</v>
      </c>
      <c r="KA9" s="47">
        <v>1</v>
      </c>
      <c r="KB9" s="25">
        <f t="shared" si="90"/>
        <v>0</v>
      </c>
      <c r="KC9" s="25">
        <f t="shared" si="160"/>
        <v>0</v>
      </c>
      <c r="KD9" s="47">
        <v>1</v>
      </c>
      <c r="KE9" s="25">
        <f t="shared" si="91"/>
        <v>0</v>
      </c>
      <c r="KF9" s="47">
        <v>1.5</v>
      </c>
      <c r="KG9" s="25">
        <f>IF(JZ9,baseBetterNumbers(KF9*$DD9),IF(JY9-1,KG8,0))</f>
        <v>0</v>
      </c>
      <c r="KH9" s="2">
        <v>1.5</v>
      </c>
      <c r="KI9" s="25">
        <f t="shared" si="92"/>
        <v>0</v>
      </c>
      <c r="KJ9" s="33" t="str">
        <f t="shared" si="93"/>
        <v>0h 0m</v>
      </c>
      <c r="KK9" s="46">
        <v>1</v>
      </c>
      <c r="KL9" s="25">
        <f t="shared" si="94"/>
        <v>0</v>
      </c>
      <c r="KM9" s="7"/>
      <c r="KN9" s="8">
        <f t="shared" si="161"/>
        <v>7</v>
      </c>
      <c r="KO9" s="8">
        <v>1</v>
      </c>
      <c r="KP9" s="47">
        <v>1</v>
      </c>
      <c r="KQ9" s="25">
        <f t="shared" si="95"/>
        <v>144</v>
      </c>
      <c r="KR9" s="25">
        <f t="shared" si="162"/>
        <v>353</v>
      </c>
      <c r="KS9" s="47">
        <v>1</v>
      </c>
      <c r="KT9" s="25">
        <f t="shared" si="96"/>
        <v>32</v>
      </c>
      <c r="KU9" s="47">
        <v>1.5</v>
      </c>
      <c r="KV9" s="25">
        <f t="shared" si="97"/>
        <v>9600</v>
      </c>
      <c r="KW9" s="2">
        <v>1.5</v>
      </c>
      <c r="KX9" s="25">
        <f t="shared" si="98"/>
        <v>0</v>
      </c>
      <c r="KY9" s="33" t="str">
        <f t="shared" si="99"/>
        <v>8h 0m</v>
      </c>
      <c r="KZ9" s="46">
        <v>1</v>
      </c>
      <c r="LA9" s="25">
        <f t="shared" si="100"/>
        <v>28800</v>
      </c>
      <c r="LB9" s="7"/>
      <c r="LC9" s="8">
        <f t="shared" si="163"/>
        <v>0</v>
      </c>
      <c r="LD9" s="5">
        <v>0</v>
      </c>
      <c r="LE9" s="47">
        <v>1</v>
      </c>
      <c r="LF9" s="25">
        <f t="shared" si="101"/>
        <v>0</v>
      </c>
      <c r="LG9" s="25">
        <f t="shared" si="164"/>
        <v>0</v>
      </c>
      <c r="LH9" s="47">
        <v>1</v>
      </c>
      <c r="LI9" s="25">
        <f t="shared" si="102"/>
        <v>0</v>
      </c>
      <c r="LJ9" s="47">
        <v>1.5</v>
      </c>
      <c r="LK9" s="25">
        <f t="shared" si="103"/>
        <v>0</v>
      </c>
      <c r="LL9" s="2">
        <v>1.5</v>
      </c>
      <c r="LM9" s="25">
        <f t="shared" si="165"/>
        <v>0</v>
      </c>
      <c r="LN9" s="33" t="str">
        <f t="shared" si="104"/>
        <v>0h 0m</v>
      </c>
      <c r="LO9" s="46">
        <v>1</v>
      </c>
      <c r="LP9" s="25">
        <f t="shared" si="105"/>
        <v>0</v>
      </c>
      <c r="LQ9" s="7"/>
      <c r="LR9" s="8">
        <f t="shared" si="166"/>
        <v>0</v>
      </c>
      <c r="LS9" s="5">
        <v>0</v>
      </c>
      <c r="LT9" s="47">
        <v>1</v>
      </c>
      <c r="LU9" s="25">
        <f t="shared" si="106"/>
        <v>0</v>
      </c>
      <c r="LV9" s="25">
        <f t="shared" si="167"/>
        <v>0</v>
      </c>
      <c r="LW9" s="47">
        <v>1</v>
      </c>
      <c r="LX9" s="25">
        <f t="shared" si="107"/>
        <v>0</v>
      </c>
      <c r="LY9" s="47">
        <v>1.5</v>
      </c>
      <c r="LZ9" s="25">
        <f t="shared" si="108"/>
        <v>0</v>
      </c>
      <c r="MA9" s="2">
        <v>1.5</v>
      </c>
      <c r="MB9" s="25">
        <f t="shared" si="168"/>
        <v>0</v>
      </c>
      <c r="MC9" s="33" t="str">
        <f t="shared" si="109"/>
        <v>0h 0m</v>
      </c>
      <c r="MD9" s="46">
        <v>1</v>
      </c>
      <c r="ME9" s="25">
        <f t="shared" si="110"/>
        <v>0</v>
      </c>
      <c r="MF9" s="7"/>
      <c r="MG9" s="8">
        <f t="shared" si="169"/>
        <v>0</v>
      </c>
      <c r="MH9" s="5">
        <v>0</v>
      </c>
      <c r="MI9" s="47">
        <v>1</v>
      </c>
      <c r="MJ9" s="25">
        <f t="shared" si="111"/>
        <v>0</v>
      </c>
      <c r="MK9" s="25">
        <f t="shared" si="170"/>
        <v>0</v>
      </c>
      <c r="ML9" s="47">
        <v>1</v>
      </c>
      <c r="MM9" s="25">
        <f t="shared" si="112"/>
        <v>0</v>
      </c>
      <c r="MN9" s="47">
        <v>1.5</v>
      </c>
      <c r="MO9" s="25">
        <f t="shared" si="113"/>
        <v>0</v>
      </c>
      <c r="MP9" s="2">
        <v>1.5</v>
      </c>
      <c r="MQ9" s="25">
        <f t="shared" si="171"/>
        <v>0</v>
      </c>
      <c r="MR9" s="33" t="str">
        <f t="shared" si="114"/>
        <v>0h 0m</v>
      </c>
      <c r="MS9" s="46">
        <v>1</v>
      </c>
      <c r="MT9" s="25">
        <f t="shared" si="115"/>
        <v>0</v>
      </c>
      <c r="MU9" s="7"/>
      <c r="MV9" s="8">
        <f t="shared" si="172"/>
        <v>5</v>
      </c>
      <c r="MW9" s="5">
        <v>1</v>
      </c>
      <c r="MX9" s="47">
        <v>1</v>
      </c>
      <c r="MY9" s="25">
        <f t="shared" si="116"/>
        <v>144</v>
      </c>
      <c r="MZ9" s="25">
        <f t="shared" si="173"/>
        <v>342</v>
      </c>
      <c r="NA9" s="47">
        <v>1.5</v>
      </c>
      <c r="NB9" s="25">
        <f t="shared" si="117"/>
        <v>48</v>
      </c>
      <c r="NC9" s="47">
        <v>3</v>
      </c>
      <c r="ND9" s="25">
        <f t="shared" si="118"/>
        <v>19200</v>
      </c>
      <c r="NE9" s="2">
        <v>1.5</v>
      </c>
      <c r="NF9" s="25">
        <f t="shared" si="174"/>
        <v>0</v>
      </c>
      <c r="NG9" s="33" t="str">
        <f t="shared" si="119"/>
        <v>8h 0m</v>
      </c>
      <c r="NH9" s="46">
        <v>1</v>
      </c>
      <c r="NI9" s="25">
        <f t="shared" si="120"/>
        <v>28800</v>
      </c>
      <c r="NJ9" s="7"/>
      <c r="NK9" s="8">
        <f t="shared" si="175"/>
        <v>6</v>
      </c>
      <c r="NL9" s="5">
        <v>1</v>
      </c>
      <c r="NM9" s="47">
        <v>1</v>
      </c>
      <c r="NN9" s="25">
        <f t="shared" si="121"/>
        <v>144</v>
      </c>
      <c r="NO9" s="25">
        <f t="shared" si="176"/>
        <v>351</v>
      </c>
      <c r="NP9" s="47">
        <v>3</v>
      </c>
      <c r="NQ9" s="25">
        <f>IF(NL9,baseBetterNumbers(NP9*$DD9),IF(NK9,NQ8,0))</f>
        <v>19200</v>
      </c>
      <c r="NR9" s="2">
        <v>1.5</v>
      </c>
      <c r="NS9" s="25">
        <f>IF(NL9,baseBetterNumbers(NR9*$DG9),IF(NK9-1,NS8,0))</f>
        <v>0</v>
      </c>
      <c r="NT9" s="33" t="str">
        <f t="shared" si="122"/>
        <v>8h 0m</v>
      </c>
      <c r="NU9" s="46">
        <v>1</v>
      </c>
      <c r="NV9" s="25">
        <f>IF(NL9,baseBetterNumbers(NU9*$DK9),IF(NK9,NV8,0))</f>
        <v>28800</v>
      </c>
      <c r="NW9" s="47">
        <v>1.3</v>
      </c>
      <c r="NX9" s="25">
        <f t="shared" si="191"/>
        <v>624</v>
      </c>
      <c r="NY9" s="1">
        <f t="shared" si="123"/>
        <v>1872</v>
      </c>
      <c r="NZ9" s="1" t="e">
        <f>G9+AJ9*DT9+AL9*EK9+AN9*FE9+AP9*FV9+AR9*GP9+AT9*HG9+AV9*IA9+AX9*IQ9+AZ9*JP9+BD9*KT9+BF9*LI9+BH9*LX9+BJ9*MM9+BL9*NB9+BR9*OH9+BT9*OW9+BV9*#REF!+BX9*#REF!+BZ9*QB9+#REF!*#REF!+#REF!*#REF!</f>
        <v>#REF!</v>
      </c>
      <c r="OB9" s="8">
        <f t="shared" si="177"/>
        <v>4</v>
      </c>
      <c r="OC9" s="5">
        <v>1</v>
      </c>
      <c r="OD9" s="47">
        <v>1</v>
      </c>
      <c r="OE9" s="25">
        <f t="shared" si="124"/>
        <v>144</v>
      </c>
      <c r="OF9" s="25">
        <f t="shared" si="178"/>
        <v>324</v>
      </c>
      <c r="OG9" s="47">
        <v>2</v>
      </c>
      <c r="OH9" s="25">
        <f t="shared" si="125"/>
        <v>64</v>
      </c>
      <c r="OI9" s="47">
        <v>8</v>
      </c>
      <c r="OJ9" s="25">
        <f t="shared" si="126"/>
        <v>51200</v>
      </c>
      <c r="OK9" s="2">
        <v>4</v>
      </c>
      <c r="OL9" s="25">
        <f t="shared" si="179"/>
        <v>0</v>
      </c>
      <c r="OM9" s="33" t="str">
        <f t="shared" si="127"/>
        <v>16h 0m</v>
      </c>
      <c r="ON9" s="46">
        <v>2</v>
      </c>
      <c r="OO9" s="25">
        <f t="shared" si="128"/>
        <v>57600</v>
      </c>
      <c r="OP9" s="7"/>
      <c r="OQ9" s="8">
        <f t="shared" si="180"/>
        <v>4</v>
      </c>
      <c r="OR9" s="5">
        <v>1</v>
      </c>
      <c r="OS9" s="47">
        <v>1</v>
      </c>
      <c r="OT9" s="25">
        <f t="shared" si="129"/>
        <v>144</v>
      </c>
      <c r="OU9" s="25">
        <f t="shared" si="181"/>
        <v>324</v>
      </c>
      <c r="OV9" s="47">
        <v>2</v>
      </c>
      <c r="OW9" s="25">
        <f t="shared" si="130"/>
        <v>64</v>
      </c>
      <c r="OX9" s="47">
        <v>10</v>
      </c>
      <c r="OY9" s="25">
        <f t="shared" si="131"/>
        <v>64000</v>
      </c>
      <c r="OZ9" s="2">
        <v>4</v>
      </c>
      <c r="PA9" s="25">
        <f t="shared" si="182"/>
        <v>0</v>
      </c>
      <c r="PB9" s="33" t="str">
        <f t="shared" si="132"/>
        <v>1d 7h 56m</v>
      </c>
      <c r="PC9" s="46">
        <v>4</v>
      </c>
      <c r="PD9" s="25">
        <f t="shared" si="133"/>
        <v>115000</v>
      </c>
      <c r="PE9" s="82">
        <f t="shared" si="197"/>
        <v>0.59999999999999987</v>
      </c>
      <c r="PF9" s="82">
        <v>0.5</v>
      </c>
      <c r="PG9" s="78" t="str">
        <f t="shared" si="194"/>
        <v>5h 0m</v>
      </c>
      <c r="PH9" s="25">
        <v>18000</v>
      </c>
      <c r="PI9" s="47">
        <v>2</v>
      </c>
      <c r="PJ9" s="25">
        <f>baseBetterNumbers(DD9*PI9)</f>
        <v>12800</v>
      </c>
      <c r="PK9" s="82">
        <f t="shared" si="198"/>
        <v>0.65000000000000013</v>
      </c>
      <c r="PL9" s="82">
        <v>0.05</v>
      </c>
      <c r="PM9" s="25">
        <v>0</v>
      </c>
      <c r="PN9" s="78" t="str">
        <f t="shared" si="195"/>
        <v>20h 0m</v>
      </c>
      <c r="PO9" s="25">
        <f t="shared" si="196"/>
        <v>72000</v>
      </c>
      <c r="PP9" s="47">
        <v>10</v>
      </c>
      <c r="PQ9" s="25">
        <f>baseBetterNumbers(DD9*PP9)</f>
        <v>64000</v>
      </c>
      <c r="PR9" s="82">
        <v>1</v>
      </c>
      <c r="PS9" s="82">
        <f t="shared" si="199"/>
        <v>0.39999999999999997</v>
      </c>
      <c r="PT9" s="82">
        <f>PT8+0.025</f>
        <v>7.5000000000000011E-2</v>
      </c>
      <c r="PU9" s="25"/>
      <c r="PV9" s="8">
        <v>0</v>
      </c>
      <c r="PW9" s="8">
        <v>0</v>
      </c>
      <c r="PX9" s="8"/>
      <c r="PY9" s="25">
        <f>IF(PW9,cio2StepsChangesX(PY8,BZ9,Conf!BM$40,Conf!BM$41,Conf!BN$39,Conf!BN$40,Conf!BN$41),PY8)</f>
        <v>0</v>
      </c>
      <c r="PZ9" s="25">
        <f t="shared" si="183"/>
        <v>0</v>
      </c>
      <c r="QA9" s="25"/>
      <c r="QB9" s="3">
        <f>IF(PW9,cio2StepsChangesX(QB8,PV9,Conf!BM$46,Conf!BM$47,Conf!BN$45,Conf!BN$46,Conf!BN$47),QB8)</f>
        <v>0</v>
      </c>
      <c r="QC9" s="3"/>
      <c r="QD9" s="3">
        <f>IF(PW9,cio2StepsChangesX(QD8,PV9,Conf!BY$18,Conf!BY$19,Conf!BZ$17,Conf!BZ$18,Conf!BZ$19),QD8)</f>
        <v>0</v>
      </c>
      <c r="QE9" s="20"/>
      <c r="QF9" s="3">
        <v>0</v>
      </c>
      <c r="QG9" s="33" t="str">
        <f t="shared" si="192"/>
        <v>0h 0m</v>
      </c>
      <c r="QH9" s="33"/>
      <c r="QI9" s="7">
        <f>cioUpTime(Conf!E$57,A9,QD9)</f>
        <v>0</v>
      </c>
    </row>
    <row r="10" spans="1:451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-AC10+E10+AJ10*DR10+AL10*EI10+AN10*FC10+AP10*FT10+AR10*GN10+AT10*HE10+AV10*HY10+AX10*IO10+AZ10*JN10+BD10*KR10+BF10*LG10+BH10*LV10+BJ10*MK10+BL10*MZ10+BP10*NO10+BR10*OF10+BT10*OU10+BV10*#REF!+BX10*#REF!+BZ10*PZ10+#REF!*#REF!+#REF!*#REF!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200"/>
        <v>0.5</v>
      </c>
      <c r="CY10" s="25">
        <f t="shared" si="10"/>
        <v>288</v>
      </c>
      <c r="CZ10" s="25">
        <f t="shared" si="19"/>
        <v>641</v>
      </c>
      <c r="DA10" s="47">
        <f t="shared" si="184"/>
        <v>1.5</v>
      </c>
      <c r="DB10" s="3">
        <f t="shared" si="20"/>
        <v>48</v>
      </c>
      <c r="DC10" s="3">
        <f t="shared" si="185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202">DG10/$CP10</f>
        <v>3.075075075075075E-2</v>
      </c>
      <c r="DI10" s="33" t="str">
        <f t="shared" si="23"/>
        <v>16h 0m</v>
      </c>
      <c r="DJ10" s="46">
        <f t="shared" si="193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203">baseBetterNumbers(HO10*GE10)</f>
        <v>2590</v>
      </c>
      <c r="HQ10" s="7">
        <v>0.8</v>
      </c>
      <c r="HR10" s="3">
        <f t="shared" ref="HR10:HR17" si="204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f t="shared" si="201"/>
        <v>9</v>
      </c>
      <c r="IZ10" s="25">
        <v>9</v>
      </c>
      <c r="JA10" s="25">
        <v>3</v>
      </c>
      <c r="JB10" s="25">
        <v>0</v>
      </c>
      <c r="JC10" s="25">
        <f t="shared" si="155"/>
        <v>0</v>
      </c>
      <c r="JD10" s="25">
        <f t="shared" si="156"/>
        <v>0</v>
      </c>
      <c r="JE10" s="25">
        <f t="shared" si="157"/>
        <v>0</v>
      </c>
      <c r="JF10" s="25"/>
      <c r="JG10" s="25"/>
      <c r="JH10" s="25"/>
      <c r="JI10" s="7"/>
      <c r="JJ10" s="8">
        <f t="shared" si="158"/>
        <v>3</v>
      </c>
      <c r="JK10" s="5">
        <v>1</v>
      </c>
      <c r="JL10" s="47">
        <v>1</v>
      </c>
      <c r="JM10" s="25">
        <f t="shared" si="83"/>
        <v>288</v>
      </c>
      <c r="JN10" s="25">
        <f t="shared" si="159"/>
        <v>504</v>
      </c>
      <c r="JO10" s="47">
        <v>0.5</v>
      </c>
      <c r="JP10" s="25">
        <f t="shared" si="84"/>
        <v>24</v>
      </c>
      <c r="JQ10" s="47">
        <v>2.5</v>
      </c>
      <c r="JR10" s="25">
        <f t="shared" si="85"/>
        <v>32000</v>
      </c>
      <c r="JS10" s="2">
        <v>2.5</v>
      </c>
      <c r="JT10" s="25">
        <f t="shared" si="86"/>
        <v>12800</v>
      </c>
      <c r="JU10" s="33" t="str">
        <f t="shared" si="87"/>
        <v>1d 0h 0m</v>
      </c>
      <c r="JV10" s="46">
        <v>1.5</v>
      </c>
      <c r="JW10" s="25">
        <f t="shared" si="88"/>
        <v>86400</v>
      </c>
      <c r="JX10" s="7"/>
      <c r="JY10" s="8">
        <f t="shared" si="89"/>
        <v>1</v>
      </c>
      <c r="JZ10" s="5">
        <v>0</v>
      </c>
      <c r="KA10" s="47">
        <v>1</v>
      </c>
      <c r="KB10" s="25">
        <f t="shared" si="90"/>
        <v>0</v>
      </c>
      <c r="KC10" s="25">
        <f t="shared" si="160"/>
        <v>0</v>
      </c>
      <c r="KD10" s="47">
        <v>1</v>
      </c>
      <c r="KE10" s="25">
        <f t="shared" si="91"/>
        <v>0</v>
      </c>
      <c r="KF10" s="47">
        <v>1.5</v>
      </c>
      <c r="KG10" s="25">
        <f>IF(JZ10,baseBetterNumbers(KF10*$DD10),IF(JY10-1,KG9,0))</f>
        <v>0</v>
      </c>
      <c r="KH10" s="2">
        <v>1.5</v>
      </c>
      <c r="KI10" s="25">
        <f t="shared" si="92"/>
        <v>0</v>
      </c>
      <c r="KJ10" s="33" t="str">
        <f t="shared" si="93"/>
        <v>0h 0m</v>
      </c>
      <c r="KK10" s="46">
        <v>1</v>
      </c>
      <c r="KL10" s="25">
        <f t="shared" si="94"/>
        <v>0</v>
      </c>
      <c r="KM10" s="7"/>
      <c r="KN10" s="8">
        <f t="shared" si="161"/>
        <v>8</v>
      </c>
      <c r="KO10" s="5">
        <v>1</v>
      </c>
      <c r="KP10" s="47">
        <v>1</v>
      </c>
      <c r="KQ10" s="25">
        <f t="shared" si="95"/>
        <v>288</v>
      </c>
      <c r="KR10" s="25">
        <f t="shared" si="162"/>
        <v>641</v>
      </c>
      <c r="KS10" s="47">
        <v>1</v>
      </c>
      <c r="KT10" s="25">
        <f t="shared" si="96"/>
        <v>48</v>
      </c>
      <c r="KU10" s="47">
        <v>1.5</v>
      </c>
      <c r="KV10" s="25">
        <f t="shared" si="97"/>
        <v>19200</v>
      </c>
      <c r="KW10" s="2">
        <v>1.5</v>
      </c>
      <c r="KX10" s="25">
        <f t="shared" si="98"/>
        <v>7680</v>
      </c>
      <c r="KY10" s="33" t="str">
        <f t="shared" si="99"/>
        <v>16h 0m</v>
      </c>
      <c r="KZ10" s="46">
        <v>1</v>
      </c>
      <c r="LA10" s="25">
        <f t="shared" si="100"/>
        <v>57600</v>
      </c>
      <c r="LB10" s="7"/>
      <c r="LC10" s="8">
        <f t="shared" si="163"/>
        <v>1</v>
      </c>
      <c r="LD10" s="5">
        <v>1</v>
      </c>
      <c r="LE10" s="47">
        <v>1</v>
      </c>
      <c r="LF10" s="25">
        <f t="shared" si="101"/>
        <v>288</v>
      </c>
      <c r="LG10" s="25">
        <f t="shared" si="164"/>
        <v>288</v>
      </c>
      <c r="LH10" s="47">
        <v>1.5</v>
      </c>
      <c r="LI10" s="25">
        <f t="shared" si="102"/>
        <v>72</v>
      </c>
      <c r="LJ10" s="47">
        <v>2.5</v>
      </c>
      <c r="LK10" s="25">
        <f t="shared" si="103"/>
        <v>32000</v>
      </c>
      <c r="LL10" s="2">
        <v>2.5</v>
      </c>
      <c r="LM10" s="25">
        <f t="shared" si="165"/>
        <v>12800</v>
      </c>
      <c r="LN10" s="33" t="str">
        <f t="shared" si="104"/>
        <v>16h 0m</v>
      </c>
      <c r="LO10" s="46">
        <v>1</v>
      </c>
      <c r="LP10" s="25">
        <f t="shared" si="105"/>
        <v>57600</v>
      </c>
      <c r="LQ10" s="7"/>
      <c r="LR10" s="8">
        <f t="shared" si="166"/>
        <v>0</v>
      </c>
      <c r="LS10" s="5">
        <v>0</v>
      </c>
      <c r="LT10" s="47">
        <v>1</v>
      </c>
      <c r="LU10" s="25">
        <f t="shared" si="106"/>
        <v>0</v>
      </c>
      <c r="LV10" s="25">
        <f t="shared" si="167"/>
        <v>0</v>
      </c>
      <c r="LW10" s="47">
        <v>1.5</v>
      </c>
      <c r="LX10" s="25">
        <f t="shared" si="107"/>
        <v>0</v>
      </c>
      <c r="LY10" s="47">
        <v>2.5</v>
      </c>
      <c r="LZ10" s="25">
        <f t="shared" si="108"/>
        <v>0</v>
      </c>
      <c r="MA10" s="2">
        <v>2.5</v>
      </c>
      <c r="MB10" s="25">
        <f t="shared" si="168"/>
        <v>0</v>
      </c>
      <c r="MC10" s="33" t="str">
        <f t="shared" si="109"/>
        <v>0h 0m</v>
      </c>
      <c r="MD10" s="46">
        <v>1</v>
      </c>
      <c r="ME10" s="25">
        <f t="shared" si="110"/>
        <v>0</v>
      </c>
      <c r="MF10" s="7"/>
      <c r="MG10" s="8">
        <f t="shared" si="169"/>
        <v>0</v>
      </c>
      <c r="MH10" s="5">
        <v>0</v>
      </c>
      <c r="MI10" s="47">
        <v>1</v>
      </c>
      <c r="MJ10" s="25">
        <f t="shared" si="111"/>
        <v>0</v>
      </c>
      <c r="MK10" s="25">
        <f t="shared" si="170"/>
        <v>0</v>
      </c>
      <c r="ML10" s="47">
        <v>1.5</v>
      </c>
      <c r="MM10" s="25">
        <f t="shared" si="112"/>
        <v>0</v>
      </c>
      <c r="MN10" s="47">
        <v>2.5</v>
      </c>
      <c r="MO10" s="25">
        <f t="shared" si="113"/>
        <v>0</v>
      </c>
      <c r="MP10" s="2">
        <v>2.5</v>
      </c>
      <c r="MQ10" s="25">
        <f t="shared" si="171"/>
        <v>0</v>
      </c>
      <c r="MR10" s="33" t="str">
        <f t="shared" si="114"/>
        <v>0h 0m</v>
      </c>
      <c r="MS10" s="46">
        <v>1</v>
      </c>
      <c r="MT10" s="25">
        <f t="shared" si="115"/>
        <v>0</v>
      </c>
      <c r="MU10" s="7"/>
      <c r="MV10" s="8">
        <f t="shared" si="172"/>
        <v>6</v>
      </c>
      <c r="MW10" s="5">
        <v>1</v>
      </c>
      <c r="MX10" s="47">
        <v>1</v>
      </c>
      <c r="MY10" s="25">
        <f t="shared" si="116"/>
        <v>288</v>
      </c>
      <c r="MZ10" s="25">
        <f t="shared" si="173"/>
        <v>630</v>
      </c>
      <c r="NA10" s="47">
        <v>1.5</v>
      </c>
      <c r="NB10" s="25">
        <f t="shared" si="117"/>
        <v>72</v>
      </c>
      <c r="NC10" s="47">
        <v>3</v>
      </c>
      <c r="ND10" s="25">
        <f t="shared" si="118"/>
        <v>38400</v>
      </c>
      <c r="NE10" s="2">
        <v>2.5</v>
      </c>
      <c r="NF10" s="25">
        <f t="shared" si="174"/>
        <v>12800</v>
      </c>
      <c r="NG10" s="33" t="str">
        <f t="shared" si="119"/>
        <v>16h 0m</v>
      </c>
      <c r="NH10" s="46">
        <v>1</v>
      </c>
      <c r="NI10" s="25">
        <f t="shared" si="120"/>
        <v>57600</v>
      </c>
      <c r="NJ10" s="7"/>
      <c r="NK10" s="8">
        <f t="shared" si="175"/>
        <v>7</v>
      </c>
      <c r="NL10" s="5">
        <v>1</v>
      </c>
      <c r="NM10" s="47">
        <v>1</v>
      </c>
      <c r="NN10" s="25">
        <f t="shared" si="121"/>
        <v>288</v>
      </c>
      <c r="NO10" s="25">
        <f t="shared" si="176"/>
        <v>639</v>
      </c>
      <c r="NP10" s="47">
        <v>3</v>
      </c>
      <c r="NQ10" s="25">
        <f>IF(NL10,baseBetterNumbers(NP10*$DD10),IF(NK10,NQ9,0))</f>
        <v>38400</v>
      </c>
      <c r="NR10" s="2">
        <v>2.5</v>
      </c>
      <c r="NS10" s="25">
        <f>IF(NL10,baseBetterNumbers(NR10*$DG10),IF(NK10-1,NS9,0))</f>
        <v>12800</v>
      </c>
      <c r="NT10" s="33" t="str">
        <f t="shared" si="122"/>
        <v>16h 0m</v>
      </c>
      <c r="NU10" s="46">
        <v>1</v>
      </c>
      <c r="NV10" s="25">
        <f>IF(NL10,baseBetterNumbers(NU10*$DK10),IF(NK10,NV9,0))</f>
        <v>57600</v>
      </c>
      <c r="NW10" s="47">
        <v>1.2</v>
      </c>
      <c r="NX10" s="25">
        <f t="shared" si="191"/>
        <v>748.8</v>
      </c>
      <c r="NY10" s="1">
        <f t="shared" si="123"/>
        <v>2246.3999999999996</v>
      </c>
      <c r="NZ10" s="1" t="e">
        <f>G10+AJ10*DT10+AL10*EK10+AN10*FE10+AP10*FV10+AR10*GP10+AT10*HG10+AV10*IA10+AX10*IQ10+AZ10*JP10+BD10*KT10+BF10*LI10+BH10*LX10+BJ10*MM10+BL10*NB10+BR10*OH10+BT10*OW10+BV10*#REF!+BX10*#REF!+BZ10*QB10+#REF!*#REF!+#REF!*#REF!</f>
        <v>#REF!</v>
      </c>
      <c r="OB10" s="8">
        <f t="shared" si="177"/>
        <v>5</v>
      </c>
      <c r="OC10" s="5">
        <v>1</v>
      </c>
      <c r="OD10" s="47">
        <v>1</v>
      </c>
      <c r="OE10" s="25">
        <f t="shared" si="124"/>
        <v>288</v>
      </c>
      <c r="OF10" s="25">
        <f t="shared" si="178"/>
        <v>612</v>
      </c>
      <c r="OG10" s="47">
        <v>2</v>
      </c>
      <c r="OH10" s="25">
        <f t="shared" si="125"/>
        <v>96</v>
      </c>
      <c r="OI10" s="47">
        <v>8</v>
      </c>
      <c r="OJ10" s="25">
        <f t="shared" si="126"/>
        <v>102000</v>
      </c>
      <c r="OK10" s="2">
        <v>4</v>
      </c>
      <c r="OL10" s="25">
        <f t="shared" si="179"/>
        <v>20500</v>
      </c>
      <c r="OM10" s="33" t="str">
        <f t="shared" si="127"/>
        <v>1d 7h 56m</v>
      </c>
      <c r="ON10" s="46">
        <v>2</v>
      </c>
      <c r="OO10" s="25">
        <f t="shared" si="128"/>
        <v>115000</v>
      </c>
      <c r="OP10" s="7"/>
      <c r="OQ10" s="8">
        <f t="shared" si="180"/>
        <v>5</v>
      </c>
      <c r="OR10" s="5">
        <v>1</v>
      </c>
      <c r="OS10" s="47">
        <v>1</v>
      </c>
      <c r="OT10" s="25">
        <f t="shared" si="129"/>
        <v>288</v>
      </c>
      <c r="OU10" s="25">
        <f t="shared" si="181"/>
        <v>612</v>
      </c>
      <c r="OV10" s="47">
        <v>2</v>
      </c>
      <c r="OW10" s="25">
        <f t="shared" si="130"/>
        <v>96</v>
      </c>
      <c r="OX10" s="47">
        <v>10</v>
      </c>
      <c r="OY10" s="25">
        <f t="shared" si="131"/>
        <v>128000</v>
      </c>
      <c r="OZ10" s="2">
        <v>4</v>
      </c>
      <c r="PA10" s="25">
        <f t="shared" si="182"/>
        <v>20500</v>
      </c>
      <c r="PB10" s="33" t="str">
        <f t="shared" si="132"/>
        <v>2d 15h 53m</v>
      </c>
      <c r="PC10" s="46">
        <v>4</v>
      </c>
      <c r="PD10" s="25">
        <f t="shared" si="133"/>
        <v>230000</v>
      </c>
      <c r="PE10" s="82">
        <f t="shared" si="197"/>
        <v>0.54999999999999982</v>
      </c>
      <c r="PF10" s="82">
        <v>0.5</v>
      </c>
      <c r="PG10" s="78" t="str">
        <f t="shared" si="194"/>
        <v>5h 0m</v>
      </c>
      <c r="PH10" s="25">
        <v>18000</v>
      </c>
      <c r="PI10" s="47">
        <v>2</v>
      </c>
      <c r="PJ10" s="25">
        <f>baseBetterNumbers(DD10*PI10)</f>
        <v>25600</v>
      </c>
      <c r="PK10" s="82">
        <f t="shared" si="198"/>
        <v>0.70000000000000018</v>
      </c>
      <c r="PL10" s="82">
        <f>PL9+0.025</f>
        <v>7.5000000000000011E-2</v>
      </c>
      <c r="PM10" s="25">
        <v>0</v>
      </c>
      <c r="PN10" s="78" t="str">
        <f t="shared" si="195"/>
        <v>20h 0m</v>
      </c>
      <c r="PO10" s="25">
        <f t="shared" si="196"/>
        <v>72000</v>
      </c>
      <c r="PP10" s="47">
        <v>10</v>
      </c>
      <c r="PQ10" s="25">
        <f>baseBetterNumbers(DD10*PP10)</f>
        <v>128000</v>
      </c>
      <c r="PR10" s="82">
        <v>1</v>
      </c>
      <c r="PS10" s="82">
        <f t="shared" si="199"/>
        <v>0.44999999999999996</v>
      </c>
      <c r="PT10" s="82">
        <f t="shared" ref="PT10:PT17" si="205">PT9+0.025</f>
        <v>0.1</v>
      </c>
      <c r="PU10" s="25"/>
      <c r="PV10" s="5">
        <v>0</v>
      </c>
      <c r="PW10" s="5">
        <v>0</v>
      </c>
      <c r="PX10" s="5"/>
      <c r="PY10" s="25">
        <f>IF(PW10,cio2StepsChangesX(PY9,BZ10,Conf!BM$40,Conf!BM$41,Conf!BN$39,Conf!BN$40,Conf!BN$41),PY9)</f>
        <v>0</v>
      </c>
      <c r="PZ10" s="25">
        <f t="shared" si="183"/>
        <v>0</v>
      </c>
      <c r="QA10" s="25"/>
      <c r="QB10" s="3">
        <f>IF(PW10,cio2StepsChangesX(QB9,PV10,Conf!BM$46,Conf!BM$47,Conf!BN$45,Conf!BN$46,Conf!BN$47),QB9)</f>
        <v>0</v>
      </c>
      <c r="QC10" s="3"/>
      <c r="QD10" s="3">
        <f>IF(PW10,cio2StepsChangesX(QD9,PV10,Conf!BY$18,Conf!BY$19,Conf!BZ$17,Conf!BZ$18,Conf!BZ$19),QD9)</f>
        <v>0</v>
      </c>
      <c r="QE10" s="20"/>
      <c r="QF10" s="3">
        <f>IF(PW10,cio2StepsChangesX(QF9,PV10,Conf!CA$18,Conf!CA$19,Conf!CB$17,Conf!CB$18,Conf!CB$19),QF9)</f>
        <v>0</v>
      </c>
      <c r="QG10" s="33" t="str">
        <f t="shared" si="192"/>
        <v>0h 0m</v>
      </c>
      <c r="QH10" s="33"/>
      <c r="QI10" s="7">
        <f>cioUpTime(Conf!E$57,A10,QD10)</f>
        <v>0</v>
      </c>
    </row>
    <row r="11" spans="1:451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-AC11+E11+AJ11*DR11+AL11*EI11+AN11*FC11+AP11*FT11+AR11*GN11+AT11*HE11+AV11*HY11+AX11*IO11+AZ11*JN11+BD11*KR11+BF11*LG11+BH11*LV11+BJ11*MK11+BL11*MZ11+BP11*NO11+BR11*OF11+BT11*OU11+BV11*#REF!+BX11*#REF!+BZ11*PZ11+#REF!*#REF!+#REF!*#REF!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200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5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6">IF(CW11,baseBetterNumbers(DG10*DF11),DG10)</f>
        <v>10200</v>
      </c>
      <c r="DH11" s="20">
        <f t="shared" si="202"/>
        <v>3.4170854271356785E-2</v>
      </c>
      <c r="DI11" s="33" t="str">
        <f t="shared" si="23"/>
        <v>1d 8h 0m</v>
      </c>
      <c r="DJ11" s="46">
        <f t="shared" si="193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7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7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203"/>
        <v>3110</v>
      </c>
      <c r="HQ11" s="7">
        <v>0.8</v>
      </c>
      <c r="HR11" s="3">
        <f t="shared" si="204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f t="shared" si="201"/>
        <v>11</v>
      </c>
      <c r="IZ11" s="25">
        <v>11</v>
      </c>
      <c r="JA11" s="25">
        <v>5</v>
      </c>
      <c r="JB11" s="25">
        <v>0</v>
      </c>
      <c r="JC11" s="25">
        <v>2</v>
      </c>
      <c r="JD11" s="25">
        <f t="shared" si="156"/>
        <v>0</v>
      </c>
      <c r="JE11" s="25">
        <f t="shared" si="157"/>
        <v>0</v>
      </c>
      <c r="JF11" s="25"/>
      <c r="JG11" s="25"/>
      <c r="JH11" s="25"/>
      <c r="JI11" s="7"/>
      <c r="JJ11" s="8">
        <f t="shared" si="158"/>
        <v>4</v>
      </c>
      <c r="JK11" s="8">
        <v>1</v>
      </c>
      <c r="JL11" s="47">
        <v>1</v>
      </c>
      <c r="JM11" s="25">
        <f t="shared" si="83"/>
        <v>576</v>
      </c>
      <c r="JN11" s="25">
        <f t="shared" si="159"/>
        <v>1080</v>
      </c>
      <c r="JO11" s="47">
        <v>0.5</v>
      </c>
      <c r="JP11" s="25">
        <f t="shared" si="84"/>
        <v>31</v>
      </c>
      <c r="JQ11" s="47">
        <v>2.5</v>
      </c>
      <c r="JR11" s="25">
        <f t="shared" si="85"/>
        <v>64000</v>
      </c>
      <c r="JS11" s="2">
        <v>2.5</v>
      </c>
      <c r="JT11" s="25">
        <f t="shared" si="86"/>
        <v>25500</v>
      </c>
      <c r="JU11" s="33" t="str">
        <f t="shared" si="87"/>
        <v>2d 0h 3m</v>
      </c>
      <c r="JV11" s="46">
        <v>1.5</v>
      </c>
      <c r="JW11" s="25">
        <f t="shared" si="88"/>
        <v>173000</v>
      </c>
      <c r="JX11" s="7"/>
      <c r="JY11" s="8">
        <f t="shared" si="89"/>
        <v>1</v>
      </c>
      <c r="JZ11" s="5">
        <v>0</v>
      </c>
      <c r="KA11" s="47">
        <v>1</v>
      </c>
      <c r="KB11" s="25">
        <f t="shared" si="90"/>
        <v>0</v>
      </c>
      <c r="KC11" s="25">
        <f t="shared" si="160"/>
        <v>0</v>
      </c>
      <c r="KD11" s="47">
        <v>1</v>
      </c>
      <c r="KE11" s="25">
        <f t="shared" si="91"/>
        <v>0</v>
      </c>
      <c r="KF11" s="47">
        <v>1.5</v>
      </c>
      <c r="KG11" s="25">
        <f>IF(JZ11,baseBetterNumbers(KF11*$DD11),IF(JY11-1,KG10,0))</f>
        <v>0</v>
      </c>
      <c r="KH11" s="2">
        <v>1.5</v>
      </c>
      <c r="KI11" s="25">
        <f t="shared" si="92"/>
        <v>0</v>
      </c>
      <c r="KJ11" s="33" t="str">
        <f t="shared" si="93"/>
        <v>0h 0m</v>
      </c>
      <c r="KK11" s="46">
        <v>1</v>
      </c>
      <c r="KL11" s="25">
        <f t="shared" si="94"/>
        <v>0</v>
      </c>
      <c r="KM11" s="7"/>
      <c r="KN11" s="8">
        <f t="shared" si="161"/>
        <v>9</v>
      </c>
      <c r="KO11" s="8">
        <v>1</v>
      </c>
      <c r="KP11" s="47">
        <v>1</v>
      </c>
      <c r="KQ11" s="25">
        <f t="shared" si="95"/>
        <v>576</v>
      </c>
      <c r="KR11" s="25">
        <f t="shared" si="162"/>
        <v>1217</v>
      </c>
      <c r="KS11" s="47">
        <v>1</v>
      </c>
      <c r="KT11" s="25">
        <f t="shared" si="96"/>
        <v>62</v>
      </c>
      <c r="KU11" s="47">
        <v>1.5</v>
      </c>
      <c r="KV11" s="25">
        <f t="shared" si="97"/>
        <v>38400</v>
      </c>
      <c r="KW11" s="2">
        <v>1.5</v>
      </c>
      <c r="KX11" s="25">
        <f t="shared" si="98"/>
        <v>15300</v>
      </c>
      <c r="KY11" s="33" t="str">
        <f t="shared" si="99"/>
        <v>1d 7h 56m</v>
      </c>
      <c r="KZ11" s="46">
        <v>1</v>
      </c>
      <c r="LA11" s="25">
        <f t="shared" si="100"/>
        <v>115000</v>
      </c>
      <c r="LB11" s="7"/>
      <c r="LC11" s="8">
        <f t="shared" si="163"/>
        <v>2</v>
      </c>
      <c r="LD11" s="8">
        <v>1</v>
      </c>
      <c r="LE11" s="47">
        <v>1</v>
      </c>
      <c r="LF11" s="25">
        <f t="shared" si="101"/>
        <v>576</v>
      </c>
      <c r="LG11" s="25">
        <f t="shared" si="164"/>
        <v>864</v>
      </c>
      <c r="LH11" s="47">
        <v>1.5</v>
      </c>
      <c r="LI11" s="25">
        <f t="shared" si="102"/>
        <v>93</v>
      </c>
      <c r="LJ11" s="47">
        <v>2.5</v>
      </c>
      <c r="LK11" s="25">
        <f t="shared" si="103"/>
        <v>64000</v>
      </c>
      <c r="LL11" s="2">
        <v>2.5</v>
      </c>
      <c r="LM11" s="25">
        <f t="shared" si="165"/>
        <v>25500</v>
      </c>
      <c r="LN11" s="33" t="str">
        <f t="shared" si="104"/>
        <v>1d 7h 56m</v>
      </c>
      <c r="LO11" s="46">
        <v>1</v>
      </c>
      <c r="LP11" s="25">
        <f t="shared" si="105"/>
        <v>115000</v>
      </c>
      <c r="LQ11" s="7"/>
      <c r="LR11" s="8">
        <f t="shared" si="166"/>
        <v>0</v>
      </c>
      <c r="LS11" s="5">
        <v>0</v>
      </c>
      <c r="LT11" s="47">
        <v>1</v>
      </c>
      <c r="LU11" s="25">
        <f t="shared" si="106"/>
        <v>0</v>
      </c>
      <c r="LV11" s="25">
        <f t="shared" si="167"/>
        <v>0</v>
      </c>
      <c r="LW11" s="47">
        <v>1.5</v>
      </c>
      <c r="LX11" s="25">
        <f t="shared" si="107"/>
        <v>0</v>
      </c>
      <c r="LY11" s="47">
        <v>2.5</v>
      </c>
      <c r="LZ11" s="25">
        <f t="shared" si="108"/>
        <v>0</v>
      </c>
      <c r="MA11" s="2">
        <v>2.5</v>
      </c>
      <c r="MB11" s="25">
        <f t="shared" si="168"/>
        <v>0</v>
      </c>
      <c r="MC11" s="33" t="str">
        <f t="shared" si="109"/>
        <v>0h 0m</v>
      </c>
      <c r="MD11" s="46">
        <v>1</v>
      </c>
      <c r="ME11" s="25">
        <f t="shared" si="110"/>
        <v>0</v>
      </c>
      <c r="MF11" s="7"/>
      <c r="MG11" s="8">
        <f t="shared" si="169"/>
        <v>1</v>
      </c>
      <c r="MH11" s="5">
        <v>1</v>
      </c>
      <c r="MI11" s="47">
        <v>1</v>
      </c>
      <c r="MJ11" s="25">
        <f t="shared" si="111"/>
        <v>576</v>
      </c>
      <c r="MK11" s="25">
        <f t="shared" si="170"/>
        <v>576</v>
      </c>
      <c r="ML11" s="47">
        <v>0.2</v>
      </c>
      <c r="MM11" s="25">
        <f t="shared" si="112"/>
        <v>12</v>
      </c>
      <c r="MN11" s="47">
        <v>3</v>
      </c>
      <c r="MO11" s="25">
        <f t="shared" si="113"/>
        <v>76800</v>
      </c>
      <c r="MP11" s="2">
        <v>3</v>
      </c>
      <c r="MQ11" s="25">
        <f t="shared" si="171"/>
        <v>30600</v>
      </c>
      <c r="MR11" s="33" t="str">
        <f t="shared" si="114"/>
        <v>2d 0h 3m</v>
      </c>
      <c r="MS11" s="46">
        <v>1.5</v>
      </c>
      <c r="MT11" s="25">
        <f t="shared" si="115"/>
        <v>173000</v>
      </c>
      <c r="MU11" s="7"/>
      <c r="MV11" s="8">
        <f t="shared" si="172"/>
        <v>7</v>
      </c>
      <c r="MW11" s="5">
        <v>1</v>
      </c>
      <c r="MX11" s="47">
        <v>1</v>
      </c>
      <c r="MY11" s="25">
        <f t="shared" si="116"/>
        <v>576</v>
      </c>
      <c r="MZ11" s="25">
        <f t="shared" si="173"/>
        <v>1206</v>
      </c>
      <c r="NA11" s="47">
        <v>1.5</v>
      </c>
      <c r="NB11" s="25">
        <f t="shared" si="117"/>
        <v>93</v>
      </c>
      <c r="NC11" s="47">
        <v>3</v>
      </c>
      <c r="ND11" s="25">
        <f t="shared" si="118"/>
        <v>76800</v>
      </c>
      <c r="NE11" s="2">
        <v>3</v>
      </c>
      <c r="NF11" s="25">
        <f t="shared" si="174"/>
        <v>30600</v>
      </c>
      <c r="NG11" s="33" t="str">
        <f t="shared" si="119"/>
        <v>2d 0h 3m</v>
      </c>
      <c r="NH11" s="46">
        <v>1.5</v>
      </c>
      <c r="NI11" s="25">
        <f t="shared" si="120"/>
        <v>173000</v>
      </c>
      <c r="NJ11" s="7"/>
      <c r="NK11" s="8">
        <f t="shared" si="175"/>
        <v>8</v>
      </c>
      <c r="NL11" s="5">
        <v>1</v>
      </c>
      <c r="NM11" s="47">
        <v>1</v>
      </c>
      <c r="NN11" s="25">
        <f t="shared" si="121"/>
        <v>576</v>
      </c>
      <c r="NO11" s="25">
        <f t="shared" si="176"/>
        <v>1215</v>
      </c>
      <c r="NP11" s="47">
        <v>3</v>
      </c>
      <c r="NQ11" s="25">
        <f>IF(NL11,baseBetterNumbers(NP11*$DD11),IF(NK11,NQ10,0))</f>
        <v>76800</v>
      </c>
      <c r="NR11" s="2">
        <v>3</v>
      </c>
      <c r="NS11" s="25">
        <f>IF(NL11,baseBetterNumbers(NR11*$DG11),IF(NK11-1,NS10,0))</f>
        <v>30600</v>
      </c>
      <c r="NT11" s="33" t="str">
        <f t="shared" si="122"/>
        <v>2d 0h 3m</v>
      </c>
      <c r="NU11" s="46">
        <v>1.5</v>
      </c>
      <c r="NV11" s="25">
        <f>IF(NL11,baseBetterNumbers(NU11*$DK11),IF(NK11,NV10,0))</f>
        <v>173000</v>
      </c>
      <c r="NW11" s="47">
        <v>1.2</v>
      </c>
      <c r="NX11" s="25">
        <f t="shared" si="191"/>
        <v>898.56</v>
      </c>
      <c r="NY11" s="1">
        <f t="shared" si="123"/>
        <v>2695.68</v>
      </c>
      <c r="NZ11" s="1" t="e">
        <f>G11+AJ11*DT11+AL11*EK11+AN11*FE11+AP11*FV11+AR11*GP11+AT11*HG11+AV11*IA11+AX11*IQ11+AZ11*JP11+BD11*KT11+BF11*LI11+BH11*LX11+BJ11*MM11+BL11*NB11+BR11*OH11+BT11*OW11+BV11*#REF!+BX11*#REF!+BZ11*QB11+#REF!*#REF!+#REF!*#REF!</f>
        <v>#REF!</v>
      </c>
      <c r="OB11" s="8">
        <f t="shared" si="177"/>
        <v>6</v>
      </c>
      <c r="OC11" s="5">
        <v>1</v>
      </c>
      <c r="OD11" s="47">
        <v>1</v>
      </c>
      <c r="OE11" s="25">
        <f t="shared" si="124"/>
        <v>576</v>
      </c>
      <c r="OF11" s="25">
        <f t="shared" si="178"/>
        <v>1188</v>
      </c>
      <c r="OG11" s="47">
        <v>2</v>
      </c>
      <c r="OH11" s="25">
        <f t="shared" si="125"/>
        <v>124</v>
      </c>
      <c r="OI11" s="47">
        <v>8</v>
      </c>
      <c r="OJ11" s="25">
        <f t="shared" si="126"/>
        <v>205000</v>
      </c>
      <c r="OK11" s="2">
        <v>4</v>
      </c>
      <c r="OL11" s="25">
        <f t="shared" si="179"/>
        <v>40800</v>
      </c>
      <c r="OM11" s="33" t="str">
        <f t="shared" si="127"/>
        <v>2d 15h 53m</v>
      </c>
      <c r="ON11" s="46">
        <v>2</v>
      </c>
      <c r="OO11" s="25">
        <f t="shared" si="128"/>
        <v>230000</v>
      </c>
      <c r="OP11" s="7"/>
      <c r="OQ11" s="8">
        <f t="shared" si="180"/>
        <v>6</v>
      </c>
      <c r="OR11" s="5">
        <v>1</v>
      </c>
      <c r="OS11" s="47">
        <v>1</v>
      </c>
      <c r="OT11" s="25">
        <f t="shared" si="129"/>
        <v>576</v>
      </c>
      <c r="OU11" s="25">
        <f t="shared" si="181"/>
        <v>1188</v>
      </c>
      <c r="OV11" s="47">
        <v>2</v>
      </c>
      <c r="OW11" s="25">
        <f t="shared" si="130"/>
        <v>124</v>
      </c>
      <c r="OX11" s="47">
        <v>10</v>
      </c>
      <c r="OY11" s="25">
        <f t="shared" si="131"/>
        <v>256000</v>
      </c>
      <c r="OZ11" s="2">
        <v>4</v>
      </c>
      <c r="PA11" s="25">
        <f t="shared" si="182"/>
        <v>40800</v>
      </c>
      <c r="PB11" s="33" t="str">
        <f t="shared" si="132"/>
        <v>5d 8h 3m</v>
      </c>
      <c r="PC11" s="46">
        <v>4</v>
      </c>
      <c r="PD11" s="25">
        <f t="shared" si="133"/>
        <v>461000</v>
      </c>
      <c r="PE11" s="82">
        <f t="shared" si="197"/>
        <v>0.49999999999999983</v>
      </c>
      <c r="PF11" s="82">
        <v>0.5</v>
      </c>
      <c r="PG11" s="78" t="str">
        <f t="shared" si="194"/>
        <v>5h 0m</v>
      </c>
      <c r="PH11" s="25">
        <v>18000</v>
      </c>
      <c r="PI11" s="47">
        <v>2</v>
      </c>
      <c r="PJ11" s="25">
        <f>baseBetterNumbers(DD11*PI11)</f>
        <v>51200</v>
      </c>
      <c r="PK11" s="82">
        <f>PK10</f>
        <v>0.70000000000000018</v>
      </c>
      <c r="PL11" s="82">
        <f t="shared" ref="PL11:PL17" si="208">PL10+0.025</f>
        <v>0.1</v>
      </c>
      <c r="PM11" s="25">
        <v>0</v>
      </c>
      <c r="PN11" s="78" t="str">
        <f t="shared" si="195"/>
        <v>20h 0m</v>
      </c>
      <c r="PO11" s="25">
        <f t="shared" si="196"/>
        <v>72000</v>
      </c>
      <c r="PP11" s="47">
        <v>10</v>
      </c>
      <c r="PQ11" s="25">
        <f>baseBetterNumbers(DD11*PP11)</f>
        <v>256000</v>
      </c>
      <c r="PR11" s="82">
        <v>1</v>
      </c>
      <c r="PS11" s="82">
        <f t="shared" si="199"/>
        <v>0.49999999999999994</v>
      </c>
      <c r="PT11" s="82">
        <f t="shared" si="205"/>
        <v>0.125</v>
      </c>
      <c r="PU11" s="25"/>
      <c r="PV11" s="8">
        <f t="shared" ref="PV11" si="209">IF(PW11,PV10+1,PV10)</f>
        <v>1</v>
      </c>
      <c r="PW11" s="5">
        <v>1</v>
      </c>
      <c r="PX11" s="47">
        <v>1</v>
      </c>
      <c r="PY11" s="25">
        <f t="shared" ref="PY11" si="210">IF(PW11,baseBetterNumbers(PX11*$CY11),IF(PV11,PY10,0))</f>
        <v>576</v>
      </c>
      <c r="PZ11" s="25">
        <f t="shared" si="183"/>
        <v>576</v>
      </c>
      <c r="QA11" s="47">
        <v>2</v>
      </c>
      <c r="QB11" s="25">
        <f t="shared" ref="QB11" si="211">IF(PW11,baseBetterNumbers(QA11*$DB11),IF(PV11,QB10,0))</f>
        <v>124</v>
      </c>
      <c r="QC11" s="47">
        <v>15</v>
      </c>
      <c r="QD11" s="25">
        <f t="shared" ref="QD11" si="212">IF(PW11,baseBetterNumbers(QC11*$DD11),IF(PV11,QD10,0))</f>
        <v>384000</v>
      </c>
      <c r="QE11" s="2">
        <v>6</v>
      </c>
      <c r="QF11" s="25">
        <f t="shared" ref="QF11" si="213">IF(PW11,baseBetterNumbers(QE11*$DG11),IF(PV11-1,QF10,0))</f>
        <v>61200</v>
      </c>
      <c r="QG11" s="33" t="str">
        <f t="shared" si="192"/>
        <v>2d 15h 53m</v>
      </c>
      <c r="QH11" s="46">
        <v>2</v>
      </c>
      <c r="QI11" s="25">
        <f t="shared" ref="QI11" si="214">IF(PW11,baseBetterNumbers(QH11*$DK11),IF(PV11,QI10,0))</f>
        <v>230000</v>
      </c>
    </row>
    <row r="12" spans="1:451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-AC12+E12+AJ12*DR12+AL12*EI12+AN12*FC12+AP12*FT12+AR12*GN12+AT12*HE12+AV12*HY12+AX12*IO12+AZ12*JN12+BD12*KR12+BF12*LG12+BH12*LV12+BJ12*MK12+BL12*MZ12+BP12*NO12+BR12*OF12+BT12*OU12+BV12*#REF!+BX12*#REF!+BZ12*PZ12+#REF!*#REF!+#REF!*#REF!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5">DA11</f>
        <v>1.3</v>
      </c>
      <c r="DB12" s="3">
        <f t="shared" si="20"/>
        <v>81</v>
      </c>
      <c r="DC12" s="3">
        <f t="shared" si="185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6">DF11</f>
        <v>2</v>
      </c>
      <c r="DG12" s="3">
        <f t="shared" si="206"/>
        <v>20400</v>
      </c>
      <c r="DH12" s="20">
        <f t="shared" si="202"/>
        <v>2.2869955156950672E-2</v>
      </c>
      <c r="DI12" s="33" t="str">
        <f t="shared" si="23"/>
        <v>2d 16h 0m</v>
      </c>
      <c r="DJ12" s="46">
        <f t="shared" si="193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6"/>
        <v>1.2</v>
      </c>
      <c r="ET12" s="3">
        <f t="shared" si="38"/>
        <v>4670</v>
      </c>
      <c r="EU12" s="7">
        <f t="shared" si="187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8"/>
        <v>1.2</v>
      </c>
      <c r="GE12" s="3">
        <f t="shared" si="54"/>
        <v>4670</v>
      </c>
      <c r="GF12" s="7">
        <f t="shared" si="207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203"/>
        <v>3740</v>
      </c>
      <c r="HQ12" s="7">
        <v>0.8</v>
      </c>
      <c r="HR12" s="3">
        <f t="shared" si="204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f t="shared" si="201"/>
        <v>13</v>
      </c>
      <c r="IZ12" s="25">
        <v>13</v>
      </c>
      <c r="JA12" s="25">
        <v>7</v>
      </c>
      <c r="JB12" s="25">
        <v>0</v>
      </c>
      <c r="JC12" s="25">
        <f>JC11+2</f>
        <v>4</v>
      </c>
      <c r="JD12" s="25">
        <f t="shared" si="156"/>
        <v>0</v>
      </c>
      <c r="JE12" s="25">
        <f t="shared" si="157"/>
        <v>0</v>
      </c>
      <c r="JF12" s="25"/>
      <c r="JG12" s="25"/>
      <c r="JH12" s="25"/>
      <c r="JI12" s="7"/>
      <c r="JJ12" s="8">
        <f t="shared" si="158"/>
        <v>5</v>
      </c>
      <c r="JK12" s="5">
        <v>1</v>
      </c>
      <c r="JL12" s="47">
        <v>1</v>
      </c>
      <c r="JM12" s="25">
        <f t="shared" si="83"/>
        <v>576</v>
      </c>
      <c r="JN12" s="25">
        <f t="shared" si="159"/>
        <v>1656</v>
      </c>
      <c r="JO12" s="47">
        <v>0.5</v>
      </c>
      <c r="JP12" s="25">
        <f t="shared" si="84"/>
        <v>40</v>
      </c>
      <c r="JQ12" s="47">
        <v>2.5</v>
      </c>
      <c r="JR12" s="25">
        <f t="shared" si="85"/>
        <v>128000</v>
      </c>
      <c r="JS12" s="2">
        <v>2.5</v>
      </c>
      <c r="JT12" s="25">
        <f t="shared" si="86"/>
        <v>51000</v>
      </c>
      <c r="JU12" s="33" t="str">
        <f t="shared" si="87"/>
        <v>4d 0h 6m</v>
      </c>
      <c r="JV12" s="46">
        <v>1.5</v>
      </c>
      <c r="JW12" s="25">
        <f t="shared" si="88"/>
        <v>346000</v>
      </c>
      <c r="JX12" s="7"/>
      <c r="JY12" s="8">
        <f t="shared" si="89"/>
        <v>1</v>
      </c>
      <c r="JZ12" s="5">
        <v>0</v>
      </c>
      <c r="KA12" s="47">
        <v>1</v>
      </c>
      <c r="KB12" s="25">
        <f t="shared" si="90"/>
        <v>0</v>
      </c>
      <c r="KC12" s="25">
        <f t="shared" si="160"/>
        <v>0</v>
      </c>
      <c r="KD12" s="47">
        <v>1</v>
      </c>
      <c r="KE12" s="25">
        <f t="shared" si="91"/>
        <v>0</v>
      </c>
      <c r="KF12" s="47">
        <v>1.5</v>
      </c>
      <c r="KG12" s="25">
        <f>IF(JZ12,baseBetterNumbers(KF12*$DD12),IF(JY12-1,KG11,0))</f>
        <v>0</v>
      </c>
      <c r="KH12" s="2">
        <v>1.5</v>
      </c>
      <c r="KI12" s="25">
        <f t="shared" si="92"/>
        <v>0</v>
      </c>
      <c r="KJ12" s="33" t="str">
        <f t="shared" si="93"/>
        <v>0h 0m</v>
      </c>
      <c r="KK12" s="46">
        <v>1</v>
      </c>
      <c r="KL12" s="25">
        <f t="shared" si="94"/>
        <v>0</v>
      </c>
      <c r="KM12" s="7"/>
      <c r="KN12" s="8">
        <f t="shared" si="161"/>
        <v>10</v>
      </c>
      <c r="KO12" s="5">
        <v>1</v>
      </c>
      <c r="KP12" s="47">
        <v>1</v>
      </c>
      <c r="KQ12" s="25">
        <f t="shared" si="95"/>
        <v>576</v>
      </c>
      <c r="KR12" s="25">
        <f t="shared" si="162"/>
        <v>1793</v>
      </c>
      <c r="KS12" s="47">
        <v>1</v>
      </c>
      <c r="KT12" s="25">
        <f t="shared" si="96"/>
        <v>81</v>
      </c>
      <c r="KU12" s="47">
        <v>1.5</v>
      </c>
      <c r="KV12" s="25">
        <f t="shared" si="97"/>
        <v>76800</v>
      </c>
      <c r="KW12" s="2">
        <v>1.5</v>
      </c>
      <c r="KX12" s="25">
        <f t="shared" si="98"/>
        <v>30600</v>
      </c>
      <c r="KY12" s="33" t="str">
        <f t="shared" si="99"/>
        <v>2d 15h 53m</v>
      </c>
      <c r="KZ12" s="46">
        <v>1</v>
      </c>
      <c r="LA12" s="25">
        <f t="shared" si="100"/>
        <v>230000</v>
      </c>
      <c r="LB12" s="7"/>
      <c r="LC12" s="8">
        <f t="shared" si="163"/>
        <v>3</v>
      </c>
      <c r="LD12" s="5">
        <v>1</v>
      </c>
      <c r="LE12" s="47">
        <v>1</v>
      </c>
      <c r="LF12" s="25">
        <f t="shared" si="101"/>
        <v>576</v>
      </c>
      <c r="LG12" s="25">
        <f t="shared" si="164"/>
        <v>1440</v>
      </c>
      <c r="LH12" s="47">
        <v>1.5</v>
      </c>
      <c r="LI12" s="25">
        <f t="shared" si="102"/>
        <v>122</v>
      </c>
      <c r="LJ12" s="47">
        <v>2.5</v>
      </c>
      <c r="LK12" s="25">
        <f t="shared" si="103"/>
        <v>128000</v>
      </c>
      <c r="LL12" s="2">
        <v>2.5</v>
      </c>
      <c r="LM12" s="25">
        <f t="shared" si="165"/>
        <v>51000</v>
      </c>
      <c r="LN12" s="33" t="str">
        <f t="shared" si="104"/>
        <v>2d 15h 53m</v>
      </c>
      <c r="LO12" s="46">
        <v>1</v>
      </c>
      <c r="LP12" s="25">
        <f t="shared" si="105"/>
        <v>230000</v>
      </c>
      <c r="LQ12" s="7"/>
      <c r="LR12" s="8">
        <f t="shared" si="166"/>
        <v>0</v>
      </c>
      <c r="LS12" s="5">
        <v>0</v>
      </c>
      <c r="LT12" s="47">
        <v>1</v>
      </c>
      <c r="LU12" s="25">
        <f t="shared" si="106"/>
        <v>0</v>
      </c>
      <c r="LV12" s="25">
        <f t="shared" si="167"/>
        <v>0</v>
      </c>
      <c r="LW12" s="47">
        <v>1.5</v>
      </c>
      <c r="LX12" s="25">
        <f t="shared" si="107"/>
        <v>0</v>
      </c>
      <c r="LY12" s="47">
        <v>2.5</v>
      </c>
      <c r="LZ12" s="25">
        <f t="shared" si="108"/>
        <v>0</v>
      </c>
      <c r="MA12" s="2">
        <v>2.5</v>
      </c>
      <c r="MB12" s="25">
        <f t="shared" si="168"/>
        <v>0</v>
      </c>
      <c r="MC12" s="33" t="str">
        <f t="shared" si="109"/>
        <v>0h 0m</v>
      </c>
      <c r="MD12" s="46">
        <v>1</v>
      </c>
      <c r="ME12" s="25">
        <f t="shared" si="110"/>
        <v>0</v>
      </c>
      <c r="MF12" s="7"/>
      <c r="MG12" s="8">
        <f t="shared" si="169"/>
        <v>2</v>
      </c>
      <c r="MH12" s="5">
        <v>1</v>
      </c>
      <c r="MI12" s="47">
        <v>1</v>
      </c>
      <c r="MJ12" s="25">
        <f t="shared" si="111"/>
        <v>576</v>
      </c>
      <c r="MK12" s="25">
        <f t="shared" si="170"/>
        <v>1152</v>
      </c>
      <c r="ML12" s="47">
        <v>0.2</v>
      </c>
      <c r="MM12" s="25">
        <f t="shared" si="112"/>
        <v>16</v>
      </c>
      <c r="MN12" s="47">
        <v>3</v>
      </c>
      <c r="MO12" s="25">
        <f t="shared" si="113"/>
        <v>154000</v>
      </c>
      <c r="MP12" s="2">
        <v>3</v>
      </c>
      <c r="MQ12" s="25">
        <f t="shared" si="171"/>
        <v>61200</v>
      </c>
      <c r="MR12" s="33" t="str">
        <f t="shared" si="114"/>
        <v>4d 0h 6m</v>
      </c>
      <c r="MS12" s="46">
        <v>1.5</v>
      </c>
      <c r="MT12" s="25">
        <f t="shared" si="115"/>
        <v>346000</v>
      </c>
      <c r="MU12" s="7"/>
      <c r="MV12" s="8">
        <f t="shared" si="172"/>
        <v>8</v>
      </c>
      <c r="MW12" s="5">
        <v>1</v>
      </c>
      <c r="MX12" s="47">
        <v>1</v>
      </c>
      <c r="MY12" s="25">
        <f t="shared" si="116"/>
        <v>576</v>
      </c>
      <c r="MZ12" s="25">
        <f t="shared" si="173"/>
        <v>1782</v>
      </c>
      <c r="NA12" s="47">
        <v>1.5</v>
      </c>
      <c r="NB12" s="25">
        <f t="shared" si="117"/>
        <v>122</v>
      </c>
      <c r="NC12" s="47">
        <v>3</v>
      </c>
      <c r="ND12" s="25">
        <f t="shared" si="118"/>
        <v>154000</v>
      </c>
      <c r="NE12" s="2">
        <v>3</v>
      </c>
      <c r="NF12" s="25">
        <f t="shared" si="174"/>
        <v>61200</v>
      </c>
      <c r="NG12" s="33" t="str">
        <f t="shared" si="119"/>
        <v>4d 0h 6m</v>
      </c>
      <c r="NH12" s="46">
        <v>1.5</v>
      </c>
      <c r="NI12" s="25">
        <f t="shared" si="120"/>
        <v>346000</v>
      </c>
      <c r="NJ12" s="7"/>
      <c r="NK12" s="8">
        <f t="shared" si="175"/>
        <v>9</v>
      </c>
      <c r="NL12" s="5">
        <v>1</v>
      </c>
      <c r="NM12" s="47">
        <v>1</v>
      </c>
      <c r="NN12" s="25">
        <f t="shared" si="121"/>
        <v>576</v>
      </c>
      <c r="NO12" s="25">
        <f t="shared" si="176"/>
        <v>1791</v>
      </c>
      <c r="NP12" s="47">
        <v>3</v>
      </c>
      <c r="NQ12" s="25">
        <f>IF(NL12,baseBetterNumbers(NP12*$DD12),IF(NK12,NQ11,0))</f>
        <v>154000</v>
      </c>
      <c r="NR12" s="2">
        <v>3</v>
      </c>
      <c r="NS12" s="25">
        <f>IF(NL12,baseBetterNumbers(NR12*$DG12),IF(NK12-1,NS11,0))</f>
        <v>61200</v>
      </c>
      <c r="NT12" s="33" t="str">
        <f t="shared" si="122"/>
        <v>4d 0h 6m</v>
      </c>
      <c r="NU12" s="46">
        <v>1.5</v>
      </c>
      <c r="NV12" s="25">
        <f>IF(NL12,baseBetterNumbers(NU12*$DK12),IF(NK12,NV11,0))</f>
        <v>346000</v>
      </c>
      <c r="NW12" s="47">
        <v>1.2</v>
      </c>
      <c r="NX12" s="25">
        <f t="shared" si="191"/>
        <v>1078.2719999999999</v>
      </c>
      <c r="NY12" s="1">
        <f t="shared" si="123"/>
        <v>4313.0879999999997</v>
      </c>
      <c r="NZ12" s="1" t="e">
        <f>G12+AJ12*DT12+AL12*EK12+AN12*FE12+AP12*FV12+AR12*GP12+AT12*HG12+AV12*IA12+AX12*IQ12+AZ12*JP12+BD12*KT12+BF12*LI12+BH12*LX12+BJ12*MM12+BL12*NB12+BR12*OH12+BT12*OW12+BV12*#REF!+BX12*#REF!+BZ12*QB12+#REF!*#REF!+#REF!*#REF!</f>
        <v>#REF!</v>
      </c>
      <c r="OB12" s="8">
        <f t="shared" si="177"/>
        <v>7</v>
      </c>
      <c r="OC12" s="5">
        <v>1</v>
      </c>
      <c r="OD12" s="47">
        <v>1</v>
      </c>
      <c r="OE12" s="25">
        <f t="shared" si="124"/>
        <v>576</v>
      </c>
      <c r="OF12" s="25">
        <f t="shared" si="178"/>
        <v>1764</v>
      </c>
      <c r="OG12" s="47">
        <v>2</v>
      </c>
      <c r="OH12" s="25">
        <f t="shared" si="125"/>
        <v>162</v>
      </c>
      <c r="OI12" s="47">
        <v>8</v>
      </c>
      <c r="OJ12" s="25">
        <f t="shared" si="126"/>
        <v>410000</v>
      </c>
      <c r="OK12" s="2">
        <v>4</v>
      </c>
      <c r="OL12" s="25">
        <f t="shared" si="179"/>
        <v>81600</v>
      </c>
      <c r="OM12" s="33" t="str">
        <f t="shared" si="127"/>
        <v>5d 8h 3m</v>
      </c>
      <c r="ON12" s="46">
        <v>2</v>
      </c>
      <c r="OO12" s="25">
        <f t="shared" si="128"/>
        <v>461000</v>
      </c>
      <c r="OP12" s="7"/>
      <c r="OQ12" s="8">
        <f t="shared" si="180"/>
        <v>7</v>
      </c>
      <c r="OR12" s="5">
        <v>1</v>
      </c>
      <c r="OS12" s="47">
        <v>1</v>
      </c>
      <c r="OT12" s="25">
        <f t="shared" si="129"/>
        <v>576</v>
      </c>
      <c r="OU12" s="25">
        <f t="shared" si="181"/>
        <v>1764</v>
      </c>
      <c r="OV12" s="47">
        <v>2</v>
      </c>
      <c r="OW12" s="25">
        <f t="shared" si="130"/>
        <v>162</v>
      </c>
      <c r="OX12" s="47">
        <v>8</v>
      </c>
      <c r="OY12" s="25">
        <f t="shared" si="131"/>
        <v>410000</v>
      </c>
      <c r="OZ12" s="2">
        <v>4</v>
      </c>
      <c r="PA12" s="25">
        <f t="shared" si="182"/>
        <v>81600</v>
      </c>
      <c r="PB12" s="33" t="str">
        <f t="shared" si="132"/>
        <v>10d 16h 6m</v>
      </c>
      <c r="PC12" s="46">
        <v>4</v>
      </c>
      <c r="PD12" s="25">
        <f t="shared" si="133"/>
        <v>922000</v>
      </c>
      <c r="PE12" s="82">
        <f t="shared" si="197"/>
        <v>0.44999999999999984</v>
      </c>
      <c r="PF12" s="82">
        <v>0.5</v>
      </c>
      <c r="PG12" s="78" t="str">
        <f t="shared" si="194"/>
        <v>5h 0m</v>
      </c>
      <c r="PH12" s="25">
        <v>18000</v>
      </c>
      <c r="PI12" s="47">
        <v>2</v>
      </c>
      <c r="PJ12" s="25">
        <f>baseBetterNumbers(DD12*PI12)</f>
        <v>102000</v>
      </c>
      <c r="PK12" s="82">
        <f t="shared" si="198"/>
        <v>0.75000000000000022</v>
      </c>
      <c r="PL12" s="82">
        <f t="shared" si="208"/>
        <v>0.125</v>
      </c>
      <c r="PM12" s="25">
        <v>0</v>
      </c>
      <c r="PN12" s="78" t="str">
        <f t="shared" si="195"/>
        <v>20h 0m</v>
      </c>
      <c r="PO12" s="25">
        <f t="shared" si="196"/>
        <v>72000</v>
      </c>
      <c r="PP12" s="47">
        <v>10</v>
      </c>
      <c r="PQ12" s="25">
        <f>baseBetterNumbers(DD12*PP12)</f>
        <v>512000</v>
      </c>
      <c r="PR12" s="82">
        <v>1</v>
      </c>
      <c r="PS12" s="82">
        <f t="shared" si="199"/>
        <v>0.54999999999999993</v>
      </c>
      <c r="PT12" s="82">
        <f t="shared" si="205"/>
        <v>0.15</v>
      </c>
      <c r="PU12" s="25"/>
      <c r="PV12" s="8">
        <f t="shared" ref="PV12:PV17" si="217">IF(PW12,PV11+1,PV11)</f>
        <v>2</v>
      </c>
      <c r="PW12" s="5">
        <v>1</v>
      </c>
      <c r="PX12" s="47">
        <v>1</v>
      </c>
      <c r="PY12" s="25">
        <f t="shared" ref="PY12:PY17" si="218">IF(PW12,baseBetterNumbers(PX12*$CY12),IF(PV12,PY11,0))</f>
        <v>576</v>
      </c>
      <c r="PZ12" s="25">
        <f t="shared" ref="PZ12:PZ17" si="219">IF(PW12,PY12+PZ11,PZ11)</f>
        <v>1152</v>
      </c>
      <c r="QA12" s="47">
        <f>QA11</f>
        <v>2</v>
      </c>
      <c r="QB12" s="25">
        <f t="shared" ref="QB12:QB17" si="220">IF(PW12,baseBetterNumbers(QA12*$DB12),IF(PV12,QB11,0))</f>
        <v>162</v>
      </c>
      <c r="QC12" s="47">
        <f>QC11</f>
        <v>15</v>
      </c>
      <c r="QD12" s="25">
        <f t="shared" ref="QD12:QD17" si="221">IF(PW12,baseBetterNumbers(QC12*$DD12),IF(PV12,QD11,0))</f>
        <v>768000</v>
      </c>
      <c r="QE12" s="2">
        <f>QE11</f>
        <v>6</v>
      </c>
      <c r="QF12" s="25">
        <f t="shared" ref="QF12:QF17" si="222">IF(PW12,baseBetterNumbers(QE12*$DG12),IF(PV12-1,QF11,0))</f>
        <v>122000</v>
      </c>
      <c r="QG12" s="33" t="str">
        <f t="shared" ref="QG12:QG17" si="223">secToTime(QI12)</f>
        <v>5d 8h 3m</v>
      </c>
      <c r="QH12" s="46">
        <f>QH11</f>
        <v>2</v>
      </c>
      <c r="QI12" s="25">
        <f t="shared" ref="QI12:QI17" si="224">IF(PW12,baseBetterNumbers(QH12*$DK12),IF(PV12,QI11,0))</f>
        <v>461000</v>
      </c>
    </row>
    <row r="13" spans="1:451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-AC13+E13+AJ13*DR13+AL13*EI13+AN13*FC13+AP13*FT13+AR13*GN13+AT13*HE13+AV13*HY13+AX13*IO13+AZ13*JN13+BD13*KR13+BF13*LG13+BH13*LV13+BJ13*MK13+BL13*MZ13+BP13*NO13+BR13*OF13+BT13*OU13+BV13*#REF!+BX13*#REF!+BZ13*PZ13+#REF!*#REF!+#REF!*#REF!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5">CX12</f>
        <v>0.25</v>
      </c>
      <c r="CY13" s="25">
        <f t="shared" si="10"/>
        <v>864</v>
      </c>
      <c r="CZ13" s="25">
        <f t="shared" si="19"/>
        <v>2657</v>
      </c>
      <c r="DA13" s="47">
        <f t="shared" si="215"/>
        <v>1.3</v>
      </c>
      <c r="DB13" s="3">
        <f t="shared" si="20"/>
        <v>105</v>
      </c>
      <c r="DC13" s="3">
        <f t="shared" si="185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6"/>
        <v>30600</v>
      </c>
      <c r="DH13" s="20">
        <f t="shared" si="202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7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7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203"/>
        <v>4480</v>
      </c>
      <c r="HQ13" s="7">
        <v>0.8</v>
      </c>
      <c r="HR13" s="3">
        <f t="shared" si="204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f t="shared" si="201"/>
        <v>15</v>
      </c>
      <c r="IZ13" s="25">
        <v>15</v>
      </c>
      <c r="JA13" s="25">
        <v>9</v>
      </c>
      <c r="JB13" s="25">
        <v>0</v>
      </c>
      <c r="JC13" s="25">
        <f t="shared" ref="JC13:JC17" si="226">JC12+2</f>
        <v>6</v>
      </c>
      <c r="JD13" s="25">
        <v>2</v>
      </c>
      <c r="JE13" s="25">
        <f t="shared" si="157"/>
        <v>0</v>
      </c>
      <c r="JF13" s="25"/>
      <c r="JG13" s="25"/>
      <c r="JH13" s="25"/>
      <c r="JI13" s="7"/>
      <c r="JJ13" s="8">
        <f t="shared" si="158"/>
        <v>6</v>
      </c>
      <c r="JK13" s="8">
        <v>1</v>
      </c>
      <c r="JL13" s="47">
        <v>1</v>
      </c>
      <c r="JM13" s="25">
        <f t="shared" si="83"/>
        <v>864</v>
      </c>
      <c r="JN13" s="25">
        <f t="shared" si="159"/>
        <v>2520</v>
      </c>
      <c r="JO13" s="47">
        <v>0.5</v>
      </c>
      <c r="JP13" s="25">
        <f t="shared" si="84"/>
        <v>52</v>
      </c>
      <c r="JQ13" s="47">
        <v>2.5</v>
      </c>
      <c r="JR13" s="25">
        <f t="shared" si="85"/>
        <v>255000</v>
      </c>
      <c r="JS13" s="2">
        <v>2.5</v>
      </c>
      <c r="JT13" s="25">
        <f t="shared" si="86"/>
        <v>76500</v>
      </c>
      <c r="JU13" s="33" t="str">
        <f t="shared" si="87"/>
        <v>5d 23h 53m</v>
      </c>
      <c r="JV13" s="46">
        <v>1.5</v>
      </c>
      <c r="JW13" s="25">
        <f t="shared" si="88"/>
        <v>518000</v>
      </c>
      <c r="JX13" s="7"/>
      <c r="JY13" s="8">
        <f t="shared" si="89"/>
        <v>1</v>
      </c>
      <c r="JZ13" s="5">
        <v>0</v>
      </c>
      <c r="KA13" s="47">
        <v>1</v>
      </c>
      <c r="KB13" s="25">
        <f t="shared" si="90"/>
        <v>0</v>
      </c>
      <c r="KC13" s="25">
        <f t="shared" si="160"/>
        <v>0</v>
      </c>
      <c r="KD13" s="47">
        <v>1</v>
      </c>
      <c r="KE13" s="25">
        <f t="shared" si="91"/>
        <v>0</v>
      </c>
      <c r="KF13" s="47">
        <v>1.5</v>
      </c>
      <c r="KG13" s="25">
        <f>IF(JZ13,baseBetterNumbers(KF13*$DD13),IF(JY13-1,KG12,0))</f>
        <v>0</v>
      </c>
      <c r="KH13" s="2">
        <v>1.5</v>
      </c>
      <c r="KI13" s="25">
        <f t="shared" si="92"/>
        <v>0</v>
      </c>
      <c r="KJ13" s="33" t="str">
        <f t="shared" si="93"/>
        <v>0h 0m</v>
      </c>
      <c r="KK13" s="46">
        <v>1</v>
      </c>
      <c r="KL13" s="25">
        <f t="shared" si="94"/>
        <v>0</v>
      </c>
      <c r="KM13" s="7"/>
      <c r="KN13" s="8">
        <f t="shared" si="161"/>
        <v>11</v>
      </c>
      <c r="KO13" s="8">
        <v>1</v>
      </c>
      <c r="KP13" s="47">
        <v>1</v>
      </c>
      <c r="KQ13" s="25">
        <f t="shared" si="95"/>
        <v>864</v>
      </c>
      <c r="KR13" s="25">
        <f t="shared" si="162"/>
        <v>2657</v>
      </c>
      <c r="KS13" s="47">
        <v>1</v>
      </c>
      <c r="KT13" s="25">
        <f t="shared" si="96"/>
        <v>105</v>
      </c>
      <c r="KU13" s="47">
        <v>1.5</v>
      </c>
      <c r="KV13" s="25">
        <f t="shared" si="97"/>
        <v>153000</v>
      </c>
      <c r="KW13" s="2">
        <v>1.5</v>
      </c>
      <c r="KX13" s="25">
        <f t="shared" si="98"/>
        <v>45900</v>
      </c>
      <c r="KY13" s="33" t="str">
        <f t="shared" si="99"/>
        <v>4d 0h 6m</v>
      </c>
      <c r="KZ13" s="46">
        <v>1</v>
      </c>
      <c r="LA13" s="25">
        <f t="shared" si="100"/>
        <v>346000</v>
      </c>
      <c r="LB13" s="7"/>
      <c r="LC13" s="8">
        <f t="shared" si="163"/>
        <v>4</v>
      </c>
      <c r="LD13" s="8">
        <v>1</v>
      </c>
      <c r="LE13" s="47">
        <v>1</v>
      </c>
      <c r="LF13" s="25">
        <f t="shared" si="101"/>
        <v>864</v>
      </c>
      <c r="LG13" s="25">
        <f t="shared" si="164"/>
        <v>2304</v>
      </c>
      <c r="LH13" s="47">
        <v>1.5</v>
      </c>
      <c r="LI13" s="25">
        <f t="shared" si="102"/>
        <v>158</v>
      </c>
      <c r="LJ13" s="47">
        <v>2.5</v>
      </c>
      <c r="LK13" s="25">
        <f t="shared" si="103"/>
        <v>255000</v>
      </c>
      <c r="LL13" s="2">
        <v>2.5</v>
      </c>
      <c r="LM13" s="25">
        <f t="shared" si="165"/>
        <v>76500</v>
      </c>
      <c r="LN13" s="33" t="str">
        <f t="shared" si="104"/>
        <v>4d 0h 6m</v>
      </c>
      <c r="LO13" s="46">
        <v>1</v>
      </c>
      <c r="LP13" s="25">
        <f t="shared" si="105"/>
        <v>346000</v>
      </c>
      <c r="LQ13" s="7"/>
      <c r="LR13" s="8">
        <f t="shared" si="166"/>
        <v>0</v>
      </c>
      <c r="LS13" s="5">
        <v>0</v>
      </c>
      <c r="LT13" s="47">
        <v>1</v>
      </c>
      <c r="LU13" s="25">
        <f t="shared" si="106"/>
        <v>0</v>
      </c>
      <c r="LV13" s="25">
        <f t="shared" si="167"/>
        <v>0</v>
      </c>
      <c r="LW13" s="47">
        <v>1.5</v>
      </c>
      <c r="LX13" s="25">
        <f t="shared" si="107"/>
        <v>0</v>
      </c>
      <c r="LY13" s="47">
        <v>2.5</v>
      </c>
      <c r="LZ13" s="25">
        <f t="shared" si="108"/>
        <v>0</v>
      </c>
      <c r="MA13" s="2">
        <v>2.5</v>
      </c>
      <c r="MB13" s="25">
        <f t="shared" si="168"/>
        <v>0</v>
      </c>
      <c r="MC13" s="33" t="str">
        <f t="shared" si="109"/>
        <v>0h 0m</v>
      </c>
      <c r="MD13" s="46">
        <v>1</v>
      </c>
      <c r="ME13" s="25">
        <f t="shared" si="110"/>
        <v>0</v>
      </c>
      <c r="MF13" s="7"/>
      <c r="MG13" s="8">
        <f t="shared" si="169"/>
        <v>3</v>
      </c>
      <c r="MH13" s="5">
        <v>1</v>
      </c>
      <c r="MI13" s="47">
        <v>1</v>
      </c>
      <c r="MJ13" s="25">
        <f t="shared" si="111"/>
        <v>864</v>
      </c>
      <c r="MK13" s="25">
        <f t="shared" si="170"/>
        <v>2016</v>
      </c>
      <c r="ML13" s="47">
        <v>0.2</v>
      </c>
      <c r="MM13" s="25">
        <f t="shared" si="112"/>
        <v>21</v>
      </c>
      <c r="MN13" s="47">
        <v>3</v>
      </c>
      <c r="MO13" s="25">
        <f t="shared" si="113"/>
        <v>306000</v>
      </c>
      <c r="MP13" s="2">
        <v>3</v>
      </c>
      <c r="MQ13" s="25">
        <f t="shared" si="171"/>
        <v>91800</v>
      </c>
      <c r="MR13" s="33" t="str">
        <f t="shared" si="114"/>
        <v>5d 23h 53m</v>
      </c>
      <c r="MS13" s="46">
        <v>1.5</v>
      </c>
      <c r="MT13" s="25">
        <f t="shared" si="115"/>
        <v>518000</v>
      </c>
      <c r="MU13" s="7"/>
      <c r="MV13" s="8">
        <f t="shared" si="172"/>
        <v>9</v>
      </c>
      <c r="MW13" s="5">
        <v>1</v>
      </c>
      <c r="MX13" s="47">
        <v>1</v>
      </c>
      <c r="MY13" s="25">
        <f t="shared" si="116"/>
        <v>864</v>
      </c>
      <c r="MZ13" s="25">
        <f t="shared" si="173"/>
        <v>2646</v>
      </c>
      <c r="NA13" s="47">
        <v>1.5</v>
      </c>
      <c r="NB13" s="25">
        <f t="shared" si="117"/>
        <v>158</v>
      </c>
      <c r="NC13" s="47">
        <v>2.5</v>
      </c>
      <c r="ND13" s="25">
        <f t="shared" si="118"/>
        <v>255000</v>
      </c>
      <c r="NE13" s="2">
        <v>3</v>
      </c>
      <c r="NF13" s="25">
        <f t="shared" si="174"/>
        <v>91800</v>
      </c>
      <c r="NG13" s="33" t="str">
        <f t="shared" si="119"/>
        <v>5d 23h 53m</v>
      </c>
      <c r="NH13" s="46">
        <v>1.5</v>
      </c>
      <c r="NI13" s="25">
        <f t="shared" si="120"/>
        <v>518000</v>
      </c>
      <c r="NJ13" s="7"/>
      <c r="NK13" s="8">
        <f t="shared" si="175"/>
        <v>10</v>
      </c>
      <c r="NL13" s="5">
        <v>1</v>
      </c>
      <c r="NM13" s="47">
        <v>1</v>
      </c>
      <c r="NN13" s="25">
        <f t="shared" si="121"/>
        <v>864</v>
      </c>
      <c r="NO13" s="25">
        <f t="shared" si="176"/>
        <v>2655</v>
      </c>
      <c r="NP13" s="47">
        <v>2.5</v>
      </c>
      <c r="NQ13" s="25">
        <f>IF(NL13,baseBetterNumbers(NP13*$DD13),IF(NK13,NQ12,0))</f>
        <v>255000</v>
      </c>
      <c r="NR13" s="2">
        <v>3</v>
      </c>
      <c r="NS13" s="25">
        <f>IF(NL13,baseBetterNumbers(NR13*$DG13),IF(NK13-1,NS12,0))</f>
        <v>91800</v>
      </c>
      <c r="NT13" s="33" t="str">
        <f t="shared" si="122"/>
        <v>5d 23h 53m</v>
      </c>
      <c r="NU13" s="46">
        <v>1.5</v>
      </c>
      <c r="NV13" s="25">
        <f>IF(NL13,baseBetterNumbers(NU13*$DK13),IF(NK13,NV12,0))</f>
        <v>518000</v>
      </c>
      <c r="NW13" s="47">
        <v>1.2</v>
      </c>
      <c r="NX13" s="25">
        <f t="shared" si="191"/>
        <v>1293.9263999999998</v>
      </c>
      <c r="NY13" s="1">
        <f t="shared" si="123"/>
        <v>5175.7055999999993</v>
      </c>
      <c r="NZ13" s="1" t="e">
        <f>G13+AJ13*DT13+AL13*EK13+AN13*FE13+AP13*FV13+AR13*GP13+AT13*HG13+AV13*IA13+AX13*IQ13+AZ13*JP13+BD13*KT13+BF13*LI13+BH13*LX13+BJ13*MM13+BL13*NB13+BR13*OH13+BT13*OW13+BV13*#REF!+BX13*#REF!+BZ13*QB13+#REF!*#REF!+#REF!*#REF!</f>
        <v>#REF!</v>
      </c>
      <c r="OB13" s="8">
        <f t="shared" si="177"/>
        <v>8</v>
      </c>
      <c r="OC13" s="5">
        <v>1</v>
      </c>
      <c r="OD13" s="47">
        <v>1</v>
      </c>
      <c r="OE13" s="25">
        <f t="shared" si="124"/>
        <v>864</v>
      </c>
      <c r="OF13" s="25">
        <f t="shared" si="178"/>
        <v>2628</v>
      </c>
      <c r="OG13" s="47">
        <v>2</v>
      </c>
      <c r="OH13" s="25">
        <f t="shared" si="125"/>
        <v>210</v>
      </c>
      <c r="OI13" s="47">
        <v>6</v>
      </c>
      <c r="OJ13" s="25">
        <f t="shared" si="126"/>
        <v>612000</v>
      </c>
      <c r="OK13" s="2">
        <v>4</v>
      </c>
      <c r="OL13" s="25">
        <f t="shared" si="179"/>
        <v>122000</v>
      </c>
      <c r="OM13" s="33" t="str">
        <f t="shared" si="127"/>
        <v>7d 23h 56m</v>
      </c>
      <c r="ON13" s="46">
        <v>2</v>
      </c>
      <c r="OO13" s="25">
        <f t="shared" si="128"/>
        <v>691000</v>
      </c>
      <c r="OP13" s="7"/>
      <c r="OQ13" s="8">
        <f t="shared" si="180"/>
        <v>8</v>
      </c>
      <c r="OR13" s="5">
        <v>1</v>
      </c>
      <c r="OS13" s="47">
        <v>1</v>
      </c>
      <c r="OT13" s="25">
        <f t="shared" si="129"/>
        <v>864</v>
      </c>
      <c r="OU13" s="25">
        <f t="shared" si="181"/>
        <v>2628</v>
      </c>
      <c r="OV13" s="47">
        <v>2</v>
      </c>
      <c r="OW13" s="25">
        <f t="shared" si="130"/>
        <v>210</v>
      </c>
      <c r="OX13" s="47">
        <v>8</v>
      </c>
      <c r="OY13" s="25">
        <f t="shared" si="131"/>
        <v>816000</v>
      </c>
      <c r="OZ13" s="2">
        <v>4</v>
      </c>
      <c r="PA13" s="25">
        <f t="shared" si="182"/>
        <v>122000</v>
      </c>
      <c r="PB13" s="33" t="str">
        <f t="shared" si="132"/>
        <v>12d 0h 53m</v>
      </c>
      <c r="PC13" s="46">
        <v>3</v>
      </c>
      <c r="PD13" s="25">
        <f t="shared" si="133"/>
        <v>1040000</v>
      </c>
      <c r="PE13" s="82">
        <f t="shared" si="197"/>
        <v>0.39999999999999986</v>
      </c>
      <c r="PF13" s="82">
        <v>0.5</v>
      </c>
      <c r="PG13" s="78" t="str">
        <f t="shared" si="194"/>
        <v>5h 0m</v>
      </c>
      <c r="PH13" s="25">
        <v>18000</v>
      </c>
      <c r="PI13" s="47">
        <v>2</v>
      </c>
      <c r="PJ13" s="25">
        <f>baseBetterNumbers(DD13*PI13)</f>
        <v>204000</v>
      </c>
      <c r="PK13" s="82">
        <f t="shared" si="198"/>
        <v>0.80000000000000027</v>
      </c>
      <c r="PL13" s="82">
        <f t="shared" si="208"/>
        <v>0.15</v>
      </c>
      <c r="PM13" s="25">
        <v>0</v>
      </c>
      <c r="PN13" s="78" t="str">
        <f t="shared" si="195"/>
        <v>20h 0m</v>
      </c>
      <c r="PO13" s="25">
        <f t="shared" si="196"/>
        <v>72000</v>
      </c>
      <c r="PP13" s="47">
        <v>10</v>
      </c>
      <c r="PQ13" s="25">
        <f>baseBetterNumbers(DD13*PP13)</f>
        <v>1020000</v>
      </c>
      <c r="PR13" s="82">
        <v>1</v>
      </c>
      <c r="PS13" s="82">
        <f t="shared" si="199"/>
        <v>0.6</v>
      </c>
      <c r="PT13" s="82">
        <f t="shared" si="205"/>
        <v>0.17499999999999999</v>
      </c>
      <c r="PU13" s="25"/>
      <c r="PV13" s="8">
        <f t="shared" si="217"/>
        <v>3</v>
      </c>
      <c r="PW13" s="5">
        <v>1</v>
      </c>
      <c r="PX13" s="47">
        <v>1</v>
      </c>
      <c r="PY13" s="25">
        <f t="shared" si="218"/>
        <v>864</v>
      </c>
      <c r="PZ13" s="25">
        <f t="shared" si="219"/>
        <v>2016</v>
      </c>
      <c r="QA13" s="47">
        <f t="shared" ref="QA13:QA17" si="227">QA12</f>
        <v>2</v>
      </c>
      <c r="QB13" s="25">
        <f t="shared" si="220"/>
        <v>210</v>
      </c>
      <c r="QC13" s="47">
        <v>8</v>
      </c>
      <c r="QD13" s="25">
        <f t="shared" si="221"/>
        <v>816000</v>
      </c>
      <c r="QE13" s="2">
        <f t="shared" ref="QE13:QE17" si="228">QE12</f>
        <v>6</v>
      </c>
      <c r="QF13" s="25">
        <f t="shared" si="222"/>
        <v>184000</v>
      </c>
      <c r="QG13" s="33" t="str">
        <f t="shared" si="223"/>
        <v>7d 23h 56m</v>
      </c>
      <c r="QH13" s="46">
        <f t="shared" ref="QH13:QH17" si="229">QH12</f>
        <v>2</v>
      </c>
      <c r="QI13" s="25">
        <f t="shared" si="224"/>
        <v>691000</v>
      </c>
    </row>
    <row r="14" spans="1:451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-AC14+E14+AJ14*DR14+AL14*EI14+AN14*FC14+AP14*FT14+AR14*GN14+AT14*HE14+AV14*HY14+AX14*IO14+AZ14*JN14+BD14*KR14+BF14*LG14+BH14*LV14+BJ14*MK14+BL14*MZ14+BP14*NO14+BR14*OF14+BT14*OU14+BV14*#REF!+BX14*#REF!+BZ14*PZ14+#REF!*#REF!+#REF!*#REF!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5"/>
        <v>1.3</v>
      </c>
      <c r="DB14" s="3">
        <f t="shared" si="20"/>
        <v>136</v>
      </c>
      <c r="DC14" s="3">
        <f t="shared" si="185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30">DF13</f>
        <v>1.5</v>
      </c>
      <c r="DG14" s="3">
        <f t="shared" si="206"/>
        <v>45900</v>
      </c>
      <c r="DH14" s="20">
        <f t="shared" si="202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203"/>
        <v>5380</v>
      </c>
      <c r="HQ14" s="7">
        <v>0.8</v>
      </c>
      <c r="HR14" s="3">
        <f t="shared" si="204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f t="shared" si="201"/>
        <v>17</v>
      </c>
      <c r="IZ14" s="25">
        <v>17</v>
      </c>
      <c r="JA14" s="25">
        <v>11</v>
      </c>
      <c r="JB14" s="25">
        <v>0</v>
      </c>
      <c r="JC14" s="25">
        <f t="shared" si="226"/>
        <v>8</v>
      </c>
      <c r="JD14" s="25">
        <f>JD13+2</f>
        <v>4</v>
      </c>
      <c r="JE14" s="25">
        <f t="shared" si="157"/>
        <v>0</v>
      </c>
      <c r="JF14" s="25"/>
      <c r="JG14" s="25"/>
      <c r="JH14" s="25"/>
      <c r="JI14" s="7"/>
      <c r="JJ14" s="8">
        <f t="shared" si="158"/>
        <v>7</v>
      </c>
      <c r="JK14" s="5">
        <v>1</v>
      </c>
      <c r="JL14" s="47">
        <v>1</v>
      </c>
      <c r="JM14" s="25">
        <f t="shared" si="83"/>
        <v>475</v>
      </c>
      <c r="JN14" s="25">
        <f t="shared" si="159"/>
        <v>2995</v>
      </c>
      <c r="JO14" s="47">
        <v>0.5</v>
      </c>
      <c r="JP14" s="25">
        <f t="shared" si="84"/>
        <v>68</v>
      </c>
      <c r="JQ14" s="47">
        <v>2.5</v>
      </c>
      <c r="JR14" s="25">
        <f t="shared" si="85"/>
        <v>510000</v>
      </c>
      <c r="JS14" s="2">
        <v>2.5</v>
      </c>
      <c r="JT14" s="25">
        <f t="shared" si="86"/>
        <v>115000</v>
      </c>
      <c r="JU14" s="33" t="str">
        <f t="shared" si="87"/>
        <v>6d 14h 20m</v>
      </c>
      <c r="JV14" s="46">
        <v>1.5</v>
      </c>
      <c r="JW14" s="25">
        <f t="shared" si="88"/>
        <v>570000</v>
      </c>
      <c r="JX14" s="7"/>
      <c r="JY14" s="8">
        <f t="shared" si="89"/>
        <v>1</v>
      </c>
      <c r="JZ14" s="5">
        <v>0</v>
      </c>
      <c r="KA14" s="47">
        <v>1</v>
      </c>
      <c r="KB14" s="25">
        <f t="shared" si="90"/>
        <v>0</v>
      </c>
      <c r="KC14" s="25">
        <f t="shared" si="160"/>
        <v>0</v>
      </c>
      <c r="KD14" s="47">
        <v>1</v>
      </c>
      <c r="KE14" s="25">
        <f t="shared" si="91"/>
        <v>0</v>
      </c>
      <c r="KF14" s="47">
        <v>1.5</v>
      </c>
      <c r="KG14" s="25">
        <f>IF(JZ14,baseBetterNumbers(KF14*$DD14),IF(JY14-1,KG13,0))</f>
        <v>0</v>
      </c>
      <c r="KH14" s="2">
        <v>1.5</v>
      </c>
      <c r="KI14" s="25">
        <f t="shared" si="92"/>
        <v>0</v>
      </c>
      <c r="KJ14" s="33" t="str">
        <f t="shared" si="93"/>
        <v>0h 0m</v>
      </c>
      <c r="KK14" s="46">
        <v>1</v>
      </c>
      <c r="KL14" s="25">
        <f t="shared" si="94"/>
        <v>0</v>
      </c>
      <c r="KM14" s="7"/>
      <c r="KN14" s="8">
        <f t="shared" si="161"/>
        <v>12</v>
      </c>
      <c r="KO14" s="5">
        <v>1</v>
      </c>
      <c r="KP14" s="47">
        <v>1</v>
      </c>
      <c r="KQ14" s="25">
        <f t="shared" si="95"/>
        <v>475</v>
      </c>
      <c r="KR14" s="25">
        <f t="shared" si="162"/>
        <v>3132</v>
      </c>
      <c r="KS14" s="47">
        <v>1</v>
      </c>
      <c r="KT14" s="25">
        <f t="shared" si="96"/>
        <v>136</v>
      </c>
      <c r="KU14" s="47">
        <v>1.5</v>
      </c>
      <c r="KV14" s="25">
        <f t="shared" si="97"/>
        <v>306000</v>
      </c>
      <c r="KW14" s="2">
        <v>1.5</v>
      </c>
      <c r="KX14" s="25">
        <f t="shared" si="98"/>
        <v>68800</v>
      </c>
      <c r="KY14" s="33" t="str">
        <f t="shared" si="99"/>
        <v>4d 9h 33m</v>
      </c>
      <c r="KZ14" s="46">
        <v>1</v>
      </c>
      <c r="LA14" s="25">
        <f t="shared" si="100"/>
        <v>380000</v>
      </c>
      <c r="LB14" s="7"/>
      <c r="LC14" s="8">
        <f t="shared" si="163"/>
        <v>5</v>
      </c>
      <c r="LD14" s="5">
        <v>1</v>
      </c>
      <c r="LE14" s="47">
        <v>1</v>
      </c>
      <c r="LF14" s="25">
        <f t="shared" si="101"/>
        <v>475</v>
      </c>
      <c r="LG14" s="25">
        <f t="shared" si="164"/>
        <v>2779</v>
      </c>
      <c r="LH14" s="47">
        <v>1.5</v>
      </c>
      <c r="LI14" s="25">
        <f t="shared" si="102"/>
        <v>204</v>
      </c>
      <c r="LJ14" s="47">
        <v>1.5</v>
      </c>
      <c r="LK14" s="25">
        <f t="shared" si="103"/>
        <v>306000</v>
      </c>
      <c r="LL14" s="2">
        <v>1.5</v>
      </c>
      <c r="LM14" s="25">
        <f t="shared" si="165"/>
        <v>68800</v>
      </c>
      <c r="LN14" s="33" t="str">
        <f t="shared" si="104"/>
        <v>4d 9h 33m</v>
      </c>
      <c r="LO14" s="46">
        <v>1</v>
      </c>
      <c r="LP14" s="25">
        <f t="shared" si="105"/>
        <v>380000</v>
      </c>
      <c r="LQ14" s="7"/>
      <c r="LR14" s="8">
        <f t="shared" si="166"/>
        <v>0</v>
      </c>
      <c r="LS14" s="5">
        <v>0</v>
      </c>
      <c r="LT14" s="47">
        <v>1</v>
      </c>
      <c r="LU14" s="25">
        <f t="shared" si="106"/>
        <v>0</v>
      </c>
      <c r="LV14" s="25">
        <f t="shared" si="167"/>
        <v>0</v>
      </c>
      <c r="LW14" s="47">
        <v>1.5</v>
      </c>
      <c r="LX14" s="25">
        <f t="shared" si="107"/>
        <v>0</v>
      </c>
      <c r="LY14" s="47">
        <v>1.5</v>
      </c>
      <c r="LZ14" s="25">
        <f t="shared" si="108"/>
        <v>0</v>
      </c>
      <c r="MA14" s="2">
        <v>1.5</v>
      </c>
      <c r="MB14" s="25">
        <f t="shared" si="168"/>
        <v>0</v>
      </c>
      <c r="MC14" s="33" t="str">
        <f t="shared" si="109"/>
        <v>0h 0m</v>
      </c>
      <c r="MD14" s="46">
        <v>1</v>
      </c>
      <c r="ME14" s="25">
        <f t="shared" si="110"/>
        <v>0</v>
      </c>
      <c r="MF14" s="7"/>
      <c r="MG14" s="8">
        <f t="shared" si="169"/>
        <v>4</v>
      </c>
      <c r="MH14" s="5">
        <v>1</v>
      </c>
      <c r="MI14" s="47">
        <v>1</v>
      </c>
      <c r="MJ14" s="25">
        <f t="shared" si="111"/>
        <v>475</v>
      </c>
      <c r="MK14" s="25">
        <f t="shared" si="170"/>
        <v>2491</v>
      </c>
      <c r="ML14" s="47">
        <v>0.2</v>
      </c>
      <c r="MM14" s="25">
        <f t="shared" si="112"/>
        <v>27</v>
      </c>
      <c r="MN14" s="47">
        <v>3</v>
      </c>
      <c r="MO14" s="25">
        <f t="shared" si="113"/>
        <v>612000</v>
      </c>
      <c r="MP14" s="2">
        <v>3</v>
      </c>
      <c r="MQ14" s="25">
        <f t="shared" si="171"/>
        <v>138000</v>
      </c>
      <c r="MR14" s="33" t="str">
        <f t="shared" si="114"/>
        <v>6d 14h 20m</v>
      </c>
      <c r="MS14" s="46">
        <v>1.5</v>
      </c>
      <c r="MT14" s="25">
        <f t="shared" si="115"/>
        <v>570000</v>
      </c>
      <c r="MU14" s="7"/>
      <c r="MV14" s="8">
        <f t="shared" si="172"/>
        <v>10</v>
      </c>
      <c r="MW14" s="5">
        <v>1</v>
      </c>
      <c r="MX14" s="47">
        <v>1</v>
      </c>
      <c r="MY14" s="25">
        <f t="shared" si="116"/>
        <v>475</v>
      </c>
      <c r="MZ14" s="25">
        <f t="shared" si="173"/>
        <v>3121</v>
      </c>
      <c r="NA14" s="47">
        <v>1.5</v>
      </c>
      <c r="NB14" s="25">
        <f t="shared" si="117"/>
        <v>204</v>
      </c>
      <c r="NC14" s="47">
        <v>2.5</v>
      </c>
      <c r="ND14" s="25">
        <f t="shared" si="118"/>
        <v>510000</v>
      </c>
      <c r="NE14" s="2">
        <v>3</v>
      </c>
      <c r="NF14" s="25">
        <f t="shared" si="174"/>
        <v>138000</v>
      </c>
      <c r="NG14" s="33" t="str">
        <f t="shared" si="119"/>
        <v>6d 14h 20m</v>
      </c>
      <c r="NH14" s="46">
        <v>1.5</v>
      </c>
      <c r="NI14" s="25">
        <f t="shared" si="120"/>
        <v>570000</v>
      </c>
      <c r="NJ14" s="7"/>
      <c r="NK14" s="8">
        <f t="shared" si="175"/>
        <v>11</v>
      </c>
      <c r="NL14" s="5">
        <v>1</v>
      </c>
      <c r="NM14" s="47">
        <v>1</v>
      </c>
      <c r="NN14" s="25">
        <f t="shared" si="121"/>
        <v>475</v>
      </c>
      <c r="NO14" s="25">
        <f t="shared" si="176"/>
        <v>3130</v>
      </c>
      <c r="NP14" s="47">
        <v>2.5</v>
      </c>
      <c r="NQ14" s="25">
        <f>IF(NL14,baseBetterNumbers(NP14*$DD14),IF(NK14,NQ13,0))</f>
        <v>510000</v>
      </c>
      <c r="NR14" s="2">
        <v>3</v>
      </c>
      <c r="NS14" s="25">
        <f>IF(NL14,baseBetterNumbers(NR14*$DG14),IF(NK14-1,NS13,0))</f>
        <v>138000</v>
      </c>
      <c r="NT14" s="33" t="str">
        <f t="shared" si="122"/>
        <v>6d 14h 20m</v>
      </c>
      <c r="NU14" s="46">
        <v>1.5</v>
      </c>
      <c r="NV14" s="25">
        <f>IF(NL14,baseBetterNumbers(NU14*$DK14),IF(NK14,NV13,0))</f>
        <v>570000</v>
      </c>
      <c r="NW14" s="47">
        <v>1.3</v>
      </c>
      <c r="NX14" s="25">
        <f t="shared" si="191"/>
        <v>1682.1043199999999</v>
      </c>
      <c r="NY14" s="1">
        <f t="shared" si="123"/>
        <v>6728.4172799999997</v>
      </c>
      <c r="NZ14" s="1" t="e">
        <f>G14+AJ14*DT14+AL14*EK14+AN14*FE14+AP14*FV14+AR14*GP14+AT14*HG14+AV14*IA14+AX14*IQ14+AZ14*JP14+BD14*KT14+BF14*LI14+BH14*LX14+BJ14*MM14+BL14*NB14+BR14*OH14+BT14*OW14+BV14*#REF!+BX14*#REF!+BZ14*QB14+#REF!*#REF!+#REF!*#REF!</f>
        <v>#REF!</v>
      </c>
      <c r="OB14" s="8">
        <f t="shared" si="177"/>
        <v>9</v>
      </c>
      <c r="OC14" s="5">
        <v>1</v>
      </c>
      <c r="OD14" s="47">
        <v>1</v>
      </c>
      <c r="OE14" s="25">
        <f t="shared" si="124"/>
        <v>475</v>
      </c>
      <c r="OF14" s="25">
        <f t="shared" si="178"/>
        <v>3103</v>
      </c>
      <c r="OG14" s="47">
        <v>2</v>
      </c>
      <c r="OH14" s="25">
        <f t="shared" si="125"/>
        <v>272</v>
      </c>
      <c r="OI14" s="47">
        <v>6</v>
      </c>
      <c r="OJ14" s="25">
        <f t="shared" si="126"/>
        <v>1220000</v>
      </c>
      <c r="OK14" s="2">
        <v>4</v>
      </c>
      <c r="OL14" s="25">
        <f t="shared" si="179"/>
        <v>184000</v>
      </c>
      <c r="OM14" s="33" t="str">
        <f t="shared" si="127"/>
        <v>8d 19h 6m</v>
      </c>
      <c r="ON14" s="46">
        <v>2</v>
      </c>
      <c r="OO14" s="25">
        <f t="shared" si="128"/>
        <v>760000</v>
      </c>
      <c r="OP14" s="7"/>
      <c r="OQ14" s="8">
        <f t="shared" si="180"/>
        <v>9</v>
      </c>
      <c r="OR14" s="5">
        <v>1</v>
      </c>
      <c r="OS14" s="47">
        <v>1</v>
      </c>
      <c r="OT14" s="25">
        <f t="shared" si="129"/>
        <v>475</v>
      </c>
      <c r="OU14" s="25">
        <f t="shared" si="181"/>
        <v>3103</v>
      </c>
      <c r="OV14" s="47">
        <v>2</v>
      </c>
      <c r="OW14" s="25">
        <f t="shared" si="130"/>
        <v>272</v>
      </c>
      <c r="OX14" s="47">
        <v>8</v>
      </c>
      <c r="OY14" s="25">
        <f t="shared" si="131"/>
        <v>1630000</v>
      </c>
      <c r="OZ14" s="2">
        <v>4</v>
      </c>
      <c r="PA14" s="25">
        <f t="shared" si="182"/>
        <v>184000</v>
      </c>
      <c r="PB14" s="33" t="str">
        <f t="shared" si="132"/>
        <v>13d 4h 40m</v>
      </c>
      <c r="PC14" s="46">
        <v>3</v>
      </c>
      <c r="PD14" s="25">
        <f t="shared" si="133"/>
        <v>1140000</v>
      </c>
      <c r="PE14" s="82">
        <f t="shared" si="197"/>
        <v>0.34999999999999987</v>
      </c>
      <c r="PF14" s="82">
        <v>0.5</v>
      </c>
      <c r="PG14" s="78" t="str">
        <f t="shared" si="194"/>
        <v>5h 0m</v>
      </c>
      <c r="PH14" s="25">
        <v>18000</v>
      </c>
      <c r="PI14" s="47">
        <v>1.5</v>
      </c>
      <c r="PJ14" s="25">
        <f>baseBetterNumbers(DD14*PI14)</f>
        <v>306000</v>
      </c>
      <c r="PK14" s="82">
        <f t="shared" si="198"/>
        <v>0.85000000000000031</v>
      </c>
      <c r="PL14" s="82">
        <f t="shared" si="208"/>
        <v>0.17499999999999999</v>
      </c>
      <c r="PM14" s="25">
        <v>0</v>
      </c>
      <c r="PN14" s="78" t="str">
        <f t="shared" si="195"/>
        <v>20h 0m</v>
      </c>
      <c r="PO14" s="25">
        <f t="shared" si="196"/>
        <v>72000</v>
      </c>
      <c r="PP14" s="47">
        <v>10</v>
      </c>
      <c r="PQ14" s="25">
        <f>baseBetterNumbers(DD14*PP14)</f>
        <v>2040000</v>
      </c>
      <c r="PR14" s="82">
        <v>1</v>
      </c>
      <c r="PS14" s="82">
        <f t="shared" si="199"/>
        <v>0.65</v>
      </c>
      <c r="PT14" s="82">
        <f t="shared" si="205"/>
        <v>0.19999999999999998</v>
      </c>
      <c r="PU14" s="25"/>
      <c r="PV14" s="8">
        <f t="shared" si="217"/>
        <v>4</v>
      </c>
      <c r="PW14" s="5">
        <v>1</v>
      </c>
      <c r="PX14" s="47">
        <v>1</v>
      </c>
      <c r="PY14" s="25">
        <f t="shared" si="218"/>
        <v>475</v>
      </c>
      <c r="PZ14" s="25">
        <f t="shared" si="219"/>
        <v>2491</v>
      </c>
      <c r="QA14" s="47">
        <f t="shared" si="227"/>
        <v>2</v>
      </c>
      <c r="QB14" s="25">
        <f t="shared" si="220"/>
        <v>272</v>
      </c>
      <c r="QC14" s="47">
        <f t="shared" ref="QC14:QC16" si="231">QC13</f>
        <v>8</v>
      </c>
      <c r="QD14" s="25">
        <f t="shared" si="221"/>
        <v>1630000</v>
      </c>
      <c r="QE14" s="2">
        <f t="shared" si="228"/>
        <v>6</v>
      </c>
      <c r="QF14" s="25">
        <f t="shared" si="222"/>
        <v>275000</v>
      </c>
      <c r="QG14" s="33" t="str">
        <f t="shared" si="223"/>
        <v>8d 19h 6m</v>
      </c>
      <c r="QH14" s="46">
        <v>2</v>
      </c>
      <c r="QI14" s="25">
        <f t="shared" si="224"/>
        <v>760000</v>
      </c>
    </row>
    <row r="15" spans="1:451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-AC15+E15+AJ15*DR15+AL15*EI15+AN15*FC15+AP15*FT15+AR15*GN15+AT15*HE15+AV15*HY15+AX15*IO15+AZ15*JN15+BD15*KR15+BF15*LG15+BH15*LV15+BJ15*MK15+BL15*MZ15+BP15*NO15+BR15*OF15+BT15*OU15+BV15*#REF!+BX15*#REF!+BZ15*PZ15+#REF!*#REF!+#REF!*#REF!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32">CX14</f>
        <v>0.125</v>
      </c>
      <c r="CY15" s="25">
        <f t="shared" si="10"/>
        <v>523</v>
      </c>
      <c r="CZ15" s="25">
        <f t="shared" si="19"/>
        <v>3655</v>
      </c>
      <c r="DA15" s="47">
        <f t="shared" si="215"/>
        <v>1.3</v>
      </c>
      <c r="DB15" s="3">
        <f t="shared" si="20"/>
        <v>177</v>
      </c>
      <c r="DC15" s="3">
        <f t="shared" si="185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30"/>
        <v>1.5</v>
      </c>
      <c r="DG15" s="3">
        <f t="shared" si="206"/>
        <v>68800</v>
      </c>
      <c r="DH15" s="20">
        <f t="shared" si="202"/>
        <v>2.5247706422018349E-2</v>
      </c>
      <c r="DI15" s="33" t="str">
        <f t="shared" si="23"/>
        <v>4d 20h 9m</v>
      </c>
      <c r="DJ15" s="46">
        <f t="shared" si="193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33">ES14</f>
        <v>1.2</v>
      </c>
      <c r="ET15" s="3">
        <f t="shared" si="38"/>
        <v>8060</v>
      </c>
      <c r="EU15" s="7">
        <f t="shared" si="187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34">GD14</f>
        <v>1.2</v>
      </c>
      <c r="GE15" s="3">
        <f t="shared" si="54"/>
        <v>8060</v>
      </c>
      <c r="GF15" s="7">
        <f t="shared" ref="GF15:GF17" si="235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203"/>
        <v>6450</v>
      </c>
      <c r="HQ15" s="7">
        <v>0.8</v>
      </c>
      <c r="HR15" s="3">
        <f t="shared" si="204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f t="shared" si="201"/>
        <v>19</v>
      </c>
      <c r="IZ15" s="25">
        <v>19</v>
      </c>
      <c r="JA15" s="25">
        <v>13</v>
      </c>
      <c r="JB15" s="25">
        <v>3</v>
      </c>
      <c r="JC15" s="25">
        <f t="shared" si="226"/>
        <v>10</v>
      </c>
      <c r="JD15" s="25">
        <f t="shared" ref="JD15:JD17" si="236">JD14+2</f>
        <v>6</v>
      </c>
      <c r="JE15" s="25">
        <v>2</v>
      </c>
      <c r="JF15" s="25"/>
      <c r="JG15" s="25"/>
      <c r="JH15" s="25"/>
      <c r="JI15" s="7"/>
      <c r="JJ15" s="8">
        <f t="shared" si="158"/>
        <v>8</v>
      </c>
      <c r="JK15" s="8">
        <v>1</v>
      </c>
      <c r="JL15" s="47">
        <v>1</v>
      </c>
      <c r="JM15" s="25">
        <f t="shared" si="83"/>
        <v>523</v>
      </c>
      <c r="JN15" s="25">
        <f t="shared" si="159"/>
        <v>3518</v>
      </c>
      <c r="JO15" s="47">
        <v>0.5</v>
      </c>
      <c r="JP15" s="25">
        <f t="shared" si="84"/>
        <v>88</v>
      </c>
      <c r="JQ15" s="47">
        <v>2.5</v>
      </c>
      <c r="JR15" s="25">
        <f t="shared" si="85"/>
        <v>1020000</v>
      </c>
      <c r="JS15" s="2">
        <v>2.5</v>
      </c>
      <c r="JT15" s="25">
        <f t="shared" si="86"/>
        <v>172000</v>
      </c>
      <c r="JU15" s="33" t="str">
        <f t="shared" si="87"/>
        <v>7d 6h 10m</v>
      </c>
      <c r="JV15" s="46">
        <v>1.5</v>
      </c>
      <c r="JW15" s="25">
        <f t="shared" si="88"/>
        <v>627000</v>
      </c>
      <c r="JX15" s="7"/>
      <c r="JY15" s="8">
        <f t="shared" si="89"/>
        <v>1</v>
      </c>
      <c r="JZ15" s="5">
        <v>0</v>
      </c>
      <c r="KA15" s="47">
        <v>1</v>
      </c>
      <c r="KB15" s="25">
        <f t="shared" si="90"/>
        <v>0</v>
      </c>
      <c r="KC15" s="25">
        <f t="shared" si="160"/>
        <v>0</v>
      </c>
      <c r="KD15" s="47">
        <v>1</v>
      </c>
      <c r="KE15" s="25">
        <f t="shared" si="91"/>
        <v>0</v>
      </c>
      <c r="KF15" s="47">
        <v>1.5</v>
      </c>
      <c r="KG15" s="25">
        <f>IF(JZ15,baseBetterNumbers(KF15*$DD15),IF(JY15-1,KG14,0))</f>
        <v>0</v>
      </c>
      <c r="KH15" s="2">
        <v>1.5</v>
      </c>
      <c r="KI15" s="25">
        <f t="shared" si="92"/>
        <v>0</v>
      </c>
      <c r="KJ15" s="33" t="str">
        <f t="shared" si="93"/>
        <v>0h 0m</v>
      </c>
      <c r="KK15" s="46">
        <v>1</v>
      </c>
      <c r="KL15" s="25">
        <f t="shared" si="94"/>
        <v>0</v>
      </c>
      <c r="KM15" s="7"/>
      <c r="KN15" s="8">
        <f t="shared" si="161"/>
        <v>13</v>
      </c>
      <c r="KO15" s="8">
        <v>1</v>
      </c>
      <c r="KP15" s="47">
        <v>1</v>
      </c>
      <c r="KQ15" s="25">
        <f t="shared" si="95"/>
        <v>523</v>
      </c>
      <c r="KR15" s="25">
        <f t="shared" si="162"/>
        <v>3655</v>
      </c>
      <c r="KS15" s="47">
        <v>1</v>
      </c>
      <c r="KT15" s="25">
        <f t="shared" si="96"/>
        <v>177</v>
      </c>
      <c r="KU15" s="47">
        <v>1.5</v>
      </c>
      <c r="KV15" s="25">
        <f t="shared" si="97"/>
        <v>612000</v>
      </c>
      <c r="KW15" s="2">
        <v>1.5</v>
      </c>
      <c r="KX15" s="25">
        <f t="shared" si="98"/>
        <v>103000</v>
      </c>
      <c r="KY15" s="33" t="str">
        <f t="shared" si="99"/>
        <v>4d 20h 6m</v>
      </c>
      <c r="KZ15" s="46">
        <v>1</v>
      </c>
      <c r="LA15" s="25">
        <f t="shared" si="100"/>
        <v>418000</v>
      </c>
      <c r="LB15" s="7"/>
      <c r="LC15" s="8">
        <f t="shared" si="163"/>
        <v>6</v>
      </c>
      <c r="LD15" s="8">
        <v>1</v>
      </c>
      <c r="LE15" s="47">
        <v>1</v>
      </c>
      <c r="LF15" s="25">
        <f t="shared" si="101"/>
        <v>523</v>
      </c>
      <c r="LG15" s="25">
        <f t="shared" si="164"/>
        <v>3302</v>
      </c>
      <c r="LH15" s="47">
        <v>1.5</v>
      </c>
      <c r="LI15" s="25">
        <f t="shared" si="102"/>
        <v>266</v>
      </c>
      <c r="LJ15" s="47">
        <v>1.5</v>
      </c>
      <c r="LK15" s="25">
        <f t="shared" si="103"/>
        <v>612000</v>
      </c>
      <c r="LL15" s="2">
        <v>1.5</v>
      </c>
      <c r="LM15" s="25">
        <f t="shared" si="165"/>
        <v>103000</v>
      </c>
      <c r="LN15" s="33" t="str">
        <f t="shared" si="104"/>
        <v>4d 20h 6m</v>
      </c>
      <c r="LO15" s="46">
        <v>1</v>
      </c>
      <c r="LP15" s="25">
        <f t="shared" si="105"/>
        <v>418000</v>
      </c>
      <c r="LQ15" s="7"/>
      <c r="LR15" s="8">
        <f t="shared" si="166"/>
        <v>0</v>
      </c>
      <c r="LS15" s="5">
        <v>0</v>
      </c>
      <c r="LT15" s="47">
        <v>1</v>
      </c>
      <c r="LU15" s="25">
        <f t="shared" si="106"/>
        <v>0</v>
      </c>
      <c r="LV15" s="25">
        <f t="shared" si="167"/>
        <v>0</v>
      </c>
      <c r="LW15" s="47">
        <v>1.5</v>
      </c>
      <c r="LX15" s="25">
        <f t="shared" si="107"/>
        <v>0</v>
      </c>
      <c r="LY15" s="47">
        <v>1.5</v>
      </c>
      <c r="LZ15" s="25">
        <f t="shared" si="108"/>
        <v>0</v>
      </c>
      <c r="MA15" s="2">
        <v>1.5</v>
      </c>
      <c r="MB15" s="25">
        <f t="shared" si="168"/>
        <v>0</v>
      </c>
      <c r="MC15" s="33" t="str">
        <f t="shared" si="109"/>
        <v>0h 0m</v>
      </c>
      <c r="MD15" s="46">
        <v>1</v>
      </c>
      <c r="ME15" s="25">
        <f t="shared" si="110"/>
        <v>0</v>
      </c>
      <c r="MF15" s="7"/>
      <c r="MG15" s="8">
        <f t="shared" si="169"/>
        <v>5</v>
      </c>
      <c r="MH15" s="5">
        <v>1</v>
      </c>
      <c r="MI15" s="47">
        <v>1</v>
      </c>
      <c r="MJ15" s="25">
        <f t="shared" si="111"/>
        <v>523</v>
      </c>
      <c r="MK15" s="25">
        <f t="shared" si="170"/>
        <v>3014</v>
      </c>
      <c r="ML15" s="47">
        <v>0.2</v>
      </c>
      <c r="MM15" s="25">
        <f t="shared" si="112"/>
        <v>35</v>
      </c>
      <c r="MN15" s="47">
        <v>3</v>
      </c>
      <c r="MO15" s="25">
        <f t="shared" si="113"/>
        <v>1220000</v>
      </c>
      <c r="MP15" s="2">
        <v>3</v>
      </c>
      <c r="MQ15" s="25">
        <f t="shared" si="171"/>
        <v>206000</v>
      </c>
      <c r="MR15" s="33" t="str">
        <f t="shared" si="114"/>
        <v>4d 20h 6m</v>
      </c>
      <c r="MS15" s="46">
        <v>1</v>
      </c>
      <c r="MT15" s="25">
        <f t="shared" si="115"/>
        <v>418000</v>
      </c>
      <c r="MU15" s="7"/>
      <c r="MV15" s="8">
        <f t="shared" si="172"/>
        <v>11</v>
      </c>
      <c r="MW15" s="5">
        <v>1</v>
      </c>
      <c r="MX15" s="47">
        <v>1</v>
      </c>
      <c r="MY15" s="25">
        <f t="shared" si="116"/>
        <v>523</v>
      </c>
      <c r="MZ15" s="25">
        <f t="shared" si="173"/>
        <v>3644</v>
      </c>
      <c r="NA15" s="47">
        <v>1.5</v>
      </c>
      <c r="NB15" s="25">
        <f t="shared" si="117"/>
        <v>266</v>
      </c>
      <c r="NC15" s="47">
        <v>2.5</v>
      </c>
      <c r="ND15" s="25">
        <f t="shared" si="118"/>
        <v>1020000</v>
      </c>
      <c r="NE15" s="2">
        <v>3</v>
      </c>
      <c r="NF15" s="25">
        <f t="shared" si="174"/>
        <v>206000</v>
      </c>
      <c r="NG15" s="33" t="str">
        <f t="shared" si="119"/>
        <v>4d 20h 6m</v>
      </c>
      <c r="NH15" s="46">
        <v>1</v>
      </c>
      <c r="NI15" s="25">
        <f t="shared" si="120"/>
        <v>418000</v>
      </c>
      <c r="NJ15" s="7"/>
      <c r="NK15" s="8">
        <f t="shared" si="175"/>
        <v>12</v>
      </c>
      <c r="NL15" s="5">
        <v>1</v>
      </c>
      <c r="NM15" s="47">
        <v>1</v>
      </c>
      <c r="NN15" s="25">
        <f t="shared" si="121"/>
        <v>523</v>
      </c>
      <c r="NO15" s="25">
        <f t="shared" si="176"/>
        <v>3653</v>
      </c>
      <c r="NP15" s="47">
        <v>2.5</v>
      </c>
      <c r="NQ15" s="25">
        <f>IF(NL15,baseBetterNumbers(NP15*$DD15),IF(NK15,NQ14,0))</f>
        <v>1020000</v>
      </c>
      <c r="NR15" s="2">
        <v>3</v>
      </c>
      <c r="NS15" s="25">
        <f>IF(NL15,baseBetterNumbers(NR15*$DG15),IF(NK15-1,NS14,0))</f>
        <v>206000</v>
      </c>
      <c r="NT15" s="33" t="str">
        <f t="shared" si="122"/>
        <v>4d 20h 6m</v>
      </c>
      <c r="NU15" s="46">
        <v>1</v>
      </c>
      <c r="NV15" s="25">
        <f>IF(NL15,baseBetterNumbers(NU15*$DK15),IF(NK15,NV14,0))</f>
        <v>418000</v>
      </c>
      <c r="NW15" s="47">
        <v>1.3</v>
      </c>
      <c r="NX15" s="25">
        <f t="shared" si="191"/>
        <v>2186.7356159999999</v>
      </c>
      <c r="NY15" s="1">
        <f t="shared" si="123"/>
        <v>10933.67808</v>
      </c>
      <c r="NZ15" s="1" t="e">
        <f>G15+AJ15*DT15+AL15*EK15+AN15*FE15+AP15*FV15+AR15*GP15+AT15*HG15+AV15*IA15+AX15*IQ15+AZ15*JP15+BD15*KT15+BF15*LI15+BH15*LX15+BJ15*MM15+BL15*NB15+BR15*OH15+BT15*OW15+BV15*#REF!+BX15*#REF!+BZ15*QB15+#REF!*#REF!+#REF!*#REF!</f>
        <v>#REF!</v>
      </c>
      <c r="OB15" s="8">
        <f t="shared" si="177"/>
        <v>10</v>
      </c>
      <c r="OC15" s="5">
        <v>1</v>
      </c>
      <c r="OD15" s="47">
        <v>1</v>
      </c>
      <c r="OE15" s="25">
        <f t="shared" si="124"/>
        <v>523</v>
      </c>
      <c r="OF15" s="25">
        <f t="shared" si="178"/>
        <v>3626</v>
      </c>
      <c r="OG15" s="47">
        <v>2</v>
      </c>
      <c r="OH15" s="25">
        <f t="shared" si="125"/>
        <v>354</v>
      </c>
      <c r="OI15" s="47">
        <v>4</v>
      </c>
      <c r="OJ15" s="25">
        <f t="shared" si="126"/>
        <v>1630000</v>
      </c>
      <c r="OK15" s="2">
        <v>4</v>
      </c>
      <c r="OL15" s="25">
        <f t="shared" si="179"/>
        <v>275000</v>
      </c>
      <c r="OM15" s="33" t="str">
        <f t="shared" si="127"/>
        <v>9d 16h 13m</v>
      </c>
      <c r="ON15" s="46">
        <v>2</v>
      </c>
      <c r="OO15" s="25">
        <f t="shared" si="128"/>
        <v>836000</v>
      </c>
      <c r="OP15" s="7"/>
      <c r="OQ15" s="8">
        <f t="shared" si="180"/>
        <v>10</v>
      </c>
      <c r="OR15" s="5">
        <v>1</v>
      </c>
      <c r="OS15" s="47">
        <v>1</v>
      </c>
      <c r="OT15" s="25">
        <f t="shared" si="129"/>
        <v>523</v>
      </c>
      <c r="OU15" s="25">
        <f t="shared" si="181"/>
        <v>3626</v>
      </c>
      <c r="OV15" s="47">
        <v>2</v>
      </c>
      <c r="OW15" s="25">
        <f t="shared" si="130"/>
        <v>354</v>
      </c>
      <c r="OX15" s="47">
        <v>6</v>
      </c>
      <c r="OY15" s="25">
        <f t="shared" si="131"/>
        <v>2450000</v>
      </c>
      <c r="OZ15" s="2">
        <v>4</v>
      </c>
      <c r="PA15" s="25">
        <f t="shared" si="182"/>
        <v>275000</v>
      </c>
      <c r="PB15" s="33" t="str">
        <f t="shared" si="132"/>
        <v>14d 11h 13m</v>
      </c>
      <c r="PC15" s="46">
        <v>3</v>
      </c>
      <c r="PD15" s="25">
        <f t="shared" si="133"/>
        <v>1250000</v>
      </c>
      <c r="PE15" s="82">
        <f t="shared" si="197"/>
        <v>0.29999999999999988</v>
      </c>
      <c r="PF15" s="82">
        <v>0.5</v>
      </c>
      <c r="PG15" s="78" t="str">
        <f t="shared" si="194"/>
        <v>5h 0m</v>
      </c>
      <c r="PH15" s="25">
        <v>18000</v>
      </c>
      <c r="PI15" s="47">
        <v>1.5</v>
      </c>
      <c r="PJ15" s="25">
        <f>baseBetterNumbers(DD15*PI15)</f>
        <v>612000</v>
      </c>
      <c r="PK15" s="82">
        <f t="shared" si="198"/>
        <v>0.90000000000000036</v>
      </c>
      <c r="PL15" s="82">
        <f t="shared" si="208"/>
        <v>0.19999999999999998</v>
      </c>
      <c r="PM15" s="25">
        <v>0</v>
      </c>
      <c r="PN15" s="78" t="str">
        <f t="shared" si="195"/>
        <v>20h 0m</v>
      </c>
      <c r="PO15" s="25">
        <f t="shared" si="196"/>
        <v>72000</v>
      </c>
      <c r="PP15" s="47">
        <v>10</v>
      </c>
      <c r="PQ15" s="25">
        <f>baseBetterNumbers(DD15*PP15)</f>
        <v>4080000</v>
      </c>
      <c r="PR15" s="82">
        <v>1</v>
      </c>
      <c r="PS15" s="82">
        <f t="shared" si="199"/>
        <v>0.70000000000000007</v>
      </c>
      <c r="PT15" s="82">
        <f t="shared" si="205"/>
        <v>0.22499999999999998</v>
      </c>
      <c r="PU15" s="25"/>
      <c r="PV15" s="8">
        <f t="shared" si="217"/>
        <v>5</v>
      </c>
      <c r="PW15" s="5">
        <v>1</v>
      </c>
      <c r="PX15" s="47">
        <v>1</v>
      </c>
      <c r="PY15" s="25">
        <f t="shared" si="218"/>
        <v>523</v>
      </c>
      <c r="PZ15" s="25">
        <f t="shared" si="219"/>
        <v>3014</v>
      </c>
      <c r="QA15" s="47">
        <f t="shared" si="227"/>
        <v>2</v>
      </c>
      <c r="QB15" s="25">
        <f t="shared" si="220"/>
        <v>354</v>
      </c>
      <c r="QC15" s="47">
        <v>4</v>
      </c>
      <c r="QD15" s="25">
        <f t="shared" si="221"/>
        <v>1630000</v>
      </c>
      <c r="QE15" s="2">
        <f t="shared" si="228"/>
        <v>6</v>
      </c>
      <c r="QF15" s="25">
        <f t="shared" si="222"/>
        <v>413000</v>
      </c>
      <c r="QG15" s="33" t="str">
        <f t="shared" si="223"/>
        <v>9d 16h 13m</v>
      </c>
      <c r="QH15" s="46">
        <f t="shared" si="229"/>
        <v>2</v>
      </c>
      <c r="QI15" s="25">
        <f t="shared" si="224"/>
        <v>836000</v>
      </c>
    </row>
    <row r="16" spans="1:451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-AC16+E16+AJ16*DR16+AL16*EI16+AN16*FC16+AP16*FT16+AR16*GN16+AT16*HE16+AV16*HY16+AX16*IO16+AZ16*JN16+BD16*KR16+BF16*LG16+BH16*LV16+BJ16*MK16+BL16*MZ16+BP16*NO16+BR16*OF16+BT16*OU16+BV16*#REF!+BX16*#REF!+BZ16*PZ16+#REF!*#REF!+#REF!*#REF!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32"/>
        <v>0.125</v>
      </c>
      <c r="CY16" s="25">
        <f t="shared" si="10"/>
        <v>575</v>
      </c>
      <c r="CZ16" s="25">
        <f t="shared" si="19"/>
        <v>4230</v>
      </c>
      <c r="DA16" s="47">
        <f t="shared" si="215"/>
        <v>1.3</v>
      </c>
      <c r="DB16" s="3">
        <f t="shared" si="20"/>
        <v>230</v>
      </c>
      <c r="DC16" s="3">
        <f t="shared" si="185"/>
        <v>2</v>
      </c>
      <c r="DD16" s="3">
        <f t="shared" si="21"/>
        <v>816000</v>
      </c>
      <c r="DE16" s="20">
        <f t="shared" si="22"/>
        <v>0.13246753246753246</v>
      </c>
      <c r="DF16" s="2">
        <f t="shared" si="230"/>
        <v>1.5</v>
      </c>
      <c r="DG16" s="3">
        <f>IF(CW16,baseBetterNumbers(DG15*DF16),DG$15)</f>
        <v>103000</v>
      </c>
      <c r="DH16" s="20">
        <f t="shared" si="202"/>
        <v>2.9219858156028369E-2</v>
      </c>
      <c r="DI16" s="33" t="str">
        <f t="shared" si="23"/>
        <v>5d 7h 46m</v>
      </c>
      <c r="DJ16" s="46">
        <f t="shared" si="193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33"/>
        <v>1.2</v>
      </c>
      <c r="ET16" s="3">
        <f t="shared" si="38"/>
        <v>9670</v>
      </c>
      <c r="EU16" s="7">
        <f t="shared" si="187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34"/>
        <v>1.2</v>
      </c>
      <c r="GE16" s="3">
        <f t="shared" si="54"/>
        <v>9670</v>
      </c>
      <c r="GF16" s="7">
        <f t="shared" si="235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203"/>
        <v>7740</v>
      </c>
      <c r="HQ16" s="7">
        <v>0.8</v>
      </c>
      <c r="HR16" s="3">
        <f t="shared" si="204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f t="shared" si="201"/>
        <v>21</v>
      </c>
      <c r="IZ16" s="25">
        <v>21</v>
      </c>
      <c r="JA16" s="25">
        <v>15</v>
      </c>
      <c r="JB16" s="25">
        <v>5</v>
      </c>
      <c r="JC16" s="25">
        <f t="shared" si="226"/>
        <v>12</v>
      </c>
      <c r="JD16" s="25">
        <f t="shared" si="236"/>
        <v>8</v>
      </c>
      <c r="JE16" s="25">
        <f>JE15+2</f>
        <v>4</v>
      </c>
      <c r="JF16" s="25"/>
      <c r="JG16" s="25"/>
      <c r="JH16" s="25"/>
      <c r="JI16" s="7"/>
      <c r="JJ16" s="8">
        <f t="shared" si="158"/>
        <v>9</v>
      </c>
      <c r="JK16" s="5">
        <v>1</v>
      </c>
      <c r="JL16" s="47">
        <v>1</v>
      </c>
      <c r="JM16" s="25">
        <f t="shared" si="83"/>
        <v>575</v>
      </c>
      <c r="JN16" s="25">
        <f t="shared" si="159"/>
        <v>4093</v>
      </c>
      <c r="JO16" s="47">
        <v>0.5</v>
      </c>
      <c r="JP16" s="25">
        <f t="shared" si="84"/>
        <v>115</v>
      </c>
      <c r="JQ16" s="47">
        <v>2.5</v>
      </c>
      <c r="JR16" s="25">
        <f t="shared" si="85"/>
        <v>2040000</v>
      </c>
      <c r="JS16" s="2">
        <v>2.5</v>
      </c>
      <c r="JT16" s="25">
        <f t="shared" si="86"/>
        <v>258000</v>
      </c>
      <c r="JU16" s="33" t="str">
        <f t="shared" si="87"/>
        <v>7d 23h 40m</v>
      </c>
      <c r="JV16" s="46">
        <v>1.5</v>
      </c>
      <c r="JW16" s="25">
        <f t="shared" si="88"/>
        <v>690000</v>
      </c>
      <c r="JX16" s="7"/>
      <c r="JY16" s="8">
        <f t="shared" si="89"/>
        <v>1</v>
      </c>
      <c r="JZ16" s="5">
        <v>0</v>
      </c>
      <c r="KA16" s="47">
        <v>1</v>
      </c>
      <c r="KB16" s="25">
        <f t="shared" si="90"/>
        <v>0</v>
      </c>
      <c r="KC16" s="25">
        <f t="shared" si="160"/>
        <v>0</v>
      </c>
      <c r="KD16" s="47">
        <v>1</v>
      </c>
      <c r="KE16" s="25">
        <f t="shared" si="91"/>
        <v>0</v>
      </c>
      <c r="KF16" s="47">
        <v>1.5</v>
      </c>
      <c r="KG16" s="25">
        <f>IF(JZ16,baseBetterNumbers(KF16*$DD16),IF(JY16-1,KG15,0))</f>
        <v>0</v>
      </c>
      <c r="KH16" s="2">
        <v>1.5</v>
      </c>
      <c r="KI16" s="25">
        <f t="shared" si="92"/>
        <v>0</v>
      </c>
      <c r="KJ16" s="33" t="str">
        <f t="shared" si="93"/>
        <v>0h 0m</v>
      </c>
      <c r="KK16" s="46">
        <v>1</v>
      </c>
      <c r="KL16" s="25">
        <f t="shared" si="94"/>
        <v>0</v>
      </c>
      <c r="KM16" s="7"/>
      <c r="KN16" s="8">
        <f t="shared" si="161"/>
        <v>14</v>
      </c>
      <c r="KO16" s="5">
        <v>1</v>
      </c>
      <c r="KP16" s="47">
        <v>1</v>
      </c>
      <c r="KQ16" s="25">
        <f t="shared" si="95"/>
        <v>575</v>
      </c>
      <c r="KR16" s="25">
        <f t="shared" si="162"/>
        <v>4230</v>
      </c>
      <c r="KS16" s="47">
        <v>1</v>
      </c>
      <c r="KT16" s="25">
        <f t="shared" si="96"/>
        <v>230</v>
      </c>
      <c r="KU16" s="47">
        <v>1.5</v>
      </c>
      <c r="KV16" s="25">
        <f t="shared" si="97"/>
        <v>1220000</v>
      </c>
      <c r="KW16" s="2">
        <v>1.5</v>
      </c>
      <c r="KX16" s="25">
        <f t="shared" si="98"/>
        <v>154000</v>
      </c>
      <c r="KY16" s="33" t="str">
        <f t="shared" si="99"/>
        <v>5d 7h 46m</v>
      </c>
      <c r="KZ16" s="46">
        <v>1</v>
      </c>
      <c r="LA16" s="25">
        <f t="shared" si="100"/>
        <v>460000</v>
      </c>
      <c r="LB16" s="7"/>
      <c r="LC16" s="8">
        <f t="shared" si="163"/>
        <v>7</v>
      </c>
      <c r="LD16" s="5">
        <v>1</v>
      </c>
      <c r="LE16" s="47">
        <v>1</v>
      </c>
      <c r="LF16" s="25">
        <f t="shared" si="101"/>
        <v>575</v>
      </c>
      <c r="LG16" s="25">
        <f t="shared" si="164"/>
        <v>3877</v>
      </c>
      <c r="LH16" s="47">
        <v>1.5</v>
      </c>
      <c r="LI16" s="25">
        <f t="shared" si="102"/>
        <v>345</v>
      </c>
      <c r="LJ16" s="47">
        <v>1.5</v>
      </c>
      <c r="LK16" s="25">
        <f t="shared" si="103"/>
        <v>1220000</v>
      </c>
      <c r="LL16" s="2">
        <v>1.5</v>
      </c>
      <c r="LM16" s="25">
        <f t="shared" si="165"/>
        <v>154000</v>
      </c>
      <c r="LN16" s="33" t="str">
        <f t="shared" si="104"/>
        <v>5d 7h 46m</v>
      </c>
      <c r="LO16" s="46">
        <v>1</v>
      </c>
      <c r="LP16" s="25">
        <f t="shared" si="105"/>
        <v>460000</v>
      </c>
      <c r="LQ16" s="7"/>
      <c r="LR16" s="8">
        <f t="shared" si="166"/>
        <v>1</v>
      </c>
      <c r="LS16" s="5">
        <v>1</v>
      </c>
      <c r="LT16" s="47">
        <v>1</v>
      </c>
      <c r="LU16" s="25">
        <f t="shared" si="106"/>
        <v>575</v>
      </c>
      <c r="LV16" s="25">
        <f t="shared" si="167"/>
        <v>575</v>
      </c>
      <c r="LW16" s="47">
        <v>3</v>
      </c>
      <c r="LX16" s="25">
        <f t="shared" si="107"/>
        <v>690</v>
      </c>
      <c r="LY16" s="47">
        <v>4</v>
      </c>
      <c r="LZ16" s="25">
        <f t="shared" si="108"/>
        <v>3260000</v>
      </c>
      <c r="MA16" s="2">
        <v>3</v>
      </c>
      <c r="MB16" s="25">
        <f t="shared" si="168"/>
        <v>309000</v>
      </c>
      <c r="MC16" s="33" t="str">
        <f t="shared" si="109"/>
        <v>5d 7h 46m</v>
      </c>
      <c r="MD16" s="46">
        <v>1</v>
      </c>
      <c r="ME16" s="25">
        <f t="shared" si="110"/>
        <v>460000</v>
      </c>
      <c r="MF16" s="7"/>
      <c r="MG16" s="8">
        <f t="shared" si="169"/>
        <v>6</v>
      </c>
      <c r="MH16" s="5">
        <v>1</v>
      </c>
      <c r="MI16" s="47">
        <v>1</v>
      </c>
      <c r="MJ16" s="25">
        <f t="shared" si="111"/>
        <v>575</v>
      </c>
      <c r="MK16" s="25">
        <f t="shared" si="170"/>
        <v>3589</v>
      </c>
      <c r="ML16" s="47">
        <v>0.2</v>
      </c>
      <c r="MM16" s="25">
        <f t="shared" si="112"/>
        <v>46</v>
      </c>
      <c r="MN16" s="47">
        <v>3</v>
      </c>
      <c r="MO16" s="25">
        <f t="shared" si="113"/>
        <v>2450000</v>
      </c>
      <c r="MP16" s="2">
        <v>3</v>
      </c>
      <c r="MQ16" s="25">
        <f t="shared" si="171"/>
        <v>309000</v>
      </c>
      <c r="MR16" s="33" t="str">
        <f t="shared" si="114"/>
        <v>5d 7h 46m</v>
      </c>
      <c r="MS16" s="46">
        <v>1</v>
      </c>
      <c r="MT16" s="25">
        <f t="shared" si="115"/>
        <v>460000</v>
      </c>
      <c r="MU16" s="7"/>
      <c r="MV16" s="8">
        <f t="shared" si="172"/>
        <v>12</v>
      </c>
      <c r="MW16" s="5">
        <v>1</v>
      </c>
      <c r="MX16" s="47">
        <v>1</v>
      </c>
      <c r="MY16" s="25">
        <f t="shared" si="116"/>
        <v>575</v>
      </c>
      <c r="MZ16" s="25">
        <f t="shared" si="173"/>
        <v>4219</v>
      </c>
      <c r="NA16" s="47">
        <v>1.5</v>
      </c>
      <c r="NB16" s="25">
        <f t="shared" si="117"/>
        <v>345</v>
      </c>
      <c r="NC16" s="47">
        <v>2.5</v>
      </c>
      <c r="ND16" s="25">
        <f t="shared" si="118"/>
        <v>2040000</v>
      </c>
      <c r="NE16" s="2">
        <v>3</v>
      </c>
      <c r="NF16" s="25">
        <f t="shared" si="174"/>
        <v>309000</v>
      </c>
      <c r="NG16" s="33" t="str">
        <f t="shared" si="119"/>
        <v>5d 7h 46m</v>
      </c>
      <c r="NH16" s="46">
        <v>1</v>
      </c>
      <c r="NI16" s="25">
        <f t="shared" si="120"/>
        <v>460000</v>
      </c>
      <c r="NJ16" s="7"/>
      <c r="NK16" s="8">
        <f t="shared" si="175"/>
        <v>13</v>
      </c>
      <c r="NL16" s="5">
        <v>1</v>
      </c>
      <c r="NM16" s="47">
        <v>1</v>
      </c>
      <c r="NN16" s="25">
        <f t="shared" si="121"/>
        <v>575</v>
      </c>
      <c r="NO16" s="25">
        <f t="shared" si="176"/>
        <v>4228</v>
      </c>
      <c r="NP16" s="47">
        <v>2.5</v>
      </c>
      <c r="NQ16" s="25">
        <f>IF(NL16,baseBetterNumbers(NP16*$DD16),IF(NK16,NQ15,0))</f>
        <v>2040000</v>
      </c>
      <c r="NR16" s="2">
        <v>3</v>
      </c>
      <c r="NS16" s="25">
        <f>IF(NL16,baseBetterNumbers(NR16*$DG16),IF(NK16-1,NS15,0))</f>
        <v>309000</v>
      </c>
      <c r="NT16" s="33" t="str">
        <f t="shared" si="122"/>
        <v>5d 7h 46m</v>
      </c>
      <c r="NU16" s="46">
        <v>1</v>
      </c>
      <c r="NV16" s="25">
        <f>IF(NL16,baseBetterNumbers(NU16*$DK16),IF(NK16,NV15,0))</f>
        <v>460000</v>
      </c>
      <c r="NW16" s="47">
        <v>1.3</v>
      </c>
      <c r="NX16" s="25">
        <f t="shared" si="191"/>
        <v>2842.7563008000002</v>
      </c>
      <c r="NY16" s="1">
        <f t="shared" si="123"/>
        <v>14213.781504</v>
      </c>
      <c r="NZ16" s="1" t="e">
        <f>G16+AJ16*DT16+AL16*EK16+AN16*FE16+AP16*FV16+AR16*GP16+AT16*HG16+AV16*IA16+AX16*IQ16+AZ16*JP16+BD16*KT16+BF16*LI16+BH16*LX16+BJ16*MM16+BL16*NB16+BR16*OH16+BT16*OW16+BV16*#REF!+BX16*#REF!+BZ16*QB16+#REF!*#REF!+#REF!*#REF!</f>
        <v>#REF!</v>
      </c>
      <c r="OB16" s="8">
        <f t="shared" si="177"/>
        <v>11</v>
      </c>
      <c r="OC16" s="5">
        <v>1</v>
      </c>
      <c r="OD16" s="47">
        <v>1</v>
      </c>
      <c r="OE16" s="25">
        <f t="shared" si="124"/>
        <v>575</v>
      </c>
      <c r="OF16" s="25">
        <f t="shared" si="178"/>
        <v>4201</v>
      </c>
      <c r="OG16" s="47">
        <v>2</v>
      </c>
      <c r="OH16" s="25">
        <f t="shared" si="125"/>
        <v>460</v>
      </c>
      <c r="OI16" s="47">
        <v>4</v>
      </c>
      <c r="OJ16" s="25">
        <f t="shared" si="126"/>
        <v>3260000</v>
      </c>
      <c r="OK16" s="2">
        <v>4</v>
      </c>
      <c r="OL16" s="25">
        <f t="shared" si="179"/>
        <v>412000</v>
      </c>
      <c r="OM16" s="33" t="str">
        <f t="shared" si="127"/>
        <v>10d 15h 33m</v>
      </c>
      <c r="ON16" s="46">
        <v>2</v>
      </c>
      <c r="OO16" s="25">
        <f t="shared" si="128"/>
        <v>920000</v>
      </c>
      <c r="OP16" s="7"/>
      <c r="OQ16" s="8">
        <f t="shared" si="180"/>
        <v>11</v>
      </c>
      <c r="OR16" s="5">
        <v>1</v>
      </c>
      <c r="OS16" s="47">
        <v>1</v>
      </c>
      <c r="OT16" s="25">
        <f t="shared" si="129"/>
        <v>575</v>
      </c>
      <c r="OU16" s="25">
        <f t="shared" si="181"/>
        <v>4201</v>
      </c>
      <c r="OV16" s="47">
        <v>2</v>
      </c>
      <c r="OW16" s="25">
        <f t="shared" si="130"/>
        <v>460</v>
      </c>
      <c r="OX16" s="47">
        <v>5</v>
      </c>
      <c r="OY16" s="25">
        <f t="shared" si="131"/>
        <v>4080000</v>
      </c>
      <c r="OZ16" s="2">
        <v>4</v>
      </c>
      <c r="PA16" s="25">
        <f t="shared" si="182"/>
        <v>412000</v>
      </c>
      <c r="PB16" s="33" t="str">
        <f t="shared" si="132"/>
        <v>15d 23h 20m</v>
      </c>
      <c r="PC16" s="46">
        <v>3</v>
      </c>
      <c r="PD16" s="25">
        <f t="shared" si="133"/>
        <v>1380000</v>
      </c>
      <c r="PE16" s="82">
        <f t="shared" si="197"/>
        <v>0.24999999999999989</v>
      </c>
      <c r="PF16" s="82">
        <v>0.5</v>
      </c>
      <c r="PG16" s="78" t="str">
        <f t="shared" si="194"/>
        <v>5h 0m</v>
      </c>
      <c r="PH16" s="25">
        <v>18000</v>
      </c>
      <c r="PI16" s="47">
        <v>1.5</v>
      </c>
      <c r="PJ16" s="25">
        <f>baseBetterNumbers(DD16*PI16)</f>
        <v>1220000</v>
      </c>
      <c r="PK16" s="82">
        <f t="shared" si="198"/>
        <v>0.9500000000000004</v>
      </c>
      <c r="PL16" s="82">
        <f t="shared" si="208"/>
        <v>0.22499999999999998</v>
      </c>
      <c r="PM16" s="25">
        <v>0</v>
      </c>
      <c r="PN16" s="78" t="str">
        <f t="shared" si="195"/>
        <v>20h 0m</v>
      </c>
      <c r="PO16" s="25">
        <f t="shared" si="196"/>
        <v>72000</v>
      </c>
      <c r="PP16" s="47">
        <v>10</v>
      </c>
      <c r="PQ16" s="25">
        <f>baseBetterNumbers(DD16*PP16)</f>
        <v>8160000</v>
      </c>
      <c r="PR16" s="82">
        <v>1</v>
      </c>
      <c r="PS16" s="82">
        <f t="shared" si="199"/>
        <v>0.75000000000000011</v>
      </c>
      <c r="PT16" s="82">
        <f t="shared" si="205"/>
        <v>0.24999999999999997</v>
      </c>
      <c r="PU16" s="25"/>
      <c r="PV16" s="8">
        <f t="shared" si="217"/>
        <v>6</v>
      </c>
      <c r="PW16" s="5">
        <v>1</v>
      </c>
      <c r="PX16" s="47">
        <v>1</v>
      </c>
      <c r="PY16" s="25">
        <f t="shared" si="218"/>
        <v>575</v>
      </c>
      <c r="PZ16" s="25">
        <f t="shared" si="219"/>
        <v>3589</v>
      </c>
      <c r="QA16" s="47">
        <f t="shared" si="227"/>
        <v>2</v>
      </c>
      <c r="QB16" s="25">
        <f t="shared" si="220"/>
        <v>460</v>
      </c>
      <c r="QC16" s="47">
        <f t="shared" si="231"/>
        <v>4</v>
      </c>
      <c r="QD16" s="25">
        <f t="shared" si="221"/>
        <v>3260000</v>
      </c>
      <c r="QE16" s="2">
        <f t="shared" si="228"/>
        <v>6</v>
      </c>
      <c r="QF16" s="25">
        <f t="shared" si="222"/>
        <v>618000</v>
      </c>
      <c r="QG16" s="33" t="str">
        <f t="shared" si="223"/>
        <v>7d 23h 40m</v>
      </c>
      <c r="QH16" s="46">
        <v>1.5</v>
      </c>
      <c r="QI16" s="25">
        <f t="shared" si="224"/>
        <v>690000</v>
      </c>
    </row>
    <row r="17" spans="1:451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-AC17+E17+AJ17*DR17+AL17*EI17+AN17*FC17+AP17*FT17+AR17*GN17+AT17*HE17+AV17*HY17+AX17*IO17+AZ17*JN17+BD17*KR17+BF17*LG17+BH17*LV17+BJ17*MK17+BL17*MZ17+BP17*NO17+BR17*OF17+BT17*OU17+BV17*#REF!+BX17*#REF!+BZ17*PZ17+#REF!*#REF!+#REF!*#REF!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32"/>
        <v>0.125</v>
      </c>
      <c r="CY17" s="25">
        <f t="shared" si="10"/>
        <v>632</v>
      </c>
      <c r="CZ17" s="25">
        <f t="shared" si="19"/>
        <v>4862</v>
      </c>
      <c r="DA17" s="47">
        <f t="shared" si="215"/>
        <v>1.3</v>
      </c>
      <c r="DB17" s="3">
        <f t="shared" si="20"/>
        <v>299</v>
      </c>
      <c r="DC17" s="3">
        <f t="shared" si="185"/>
        <v>2</v>
      </c>
      <c r="DD17" s="3">
        <f t="shared" si="21"/>
        <v>1630000</v>
      </c>
      <c r="DE17" s="20">
        <f t="shared" si="22"/>
        <v>0.20349563046192259</v>
      </c>
      <c r="DF17" s="2">
        <f t="shared" si="230"/>
        <v>1.5</v>
      </c>
      <c r="DG17" s="3">
        <f>IF(CW17,baseBetterNumbers(DG16*DF17),DG16)</f>
        <v>154000</v>
      </c>
      <c r="DH17" s="20">
        <f t="shared" si="202"/>
        <v>3.3661202185792348E-2</v>
      </c>
      <c r="DI17" s="33" t="str">
        <f t="shared" si="23"/>
        <v>5d 20h 33m</v>
      </c>
      <c r="DJ17" s="46">
        <f t="shared" si="193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33"/>
        <v>1.2</v>
      </c>
      <c r="ET17" s="3">
        <f t="shared" si="38"/>
        <v>11600</v>
      </c>
      <c r="EU17" s="7">
        <f t="shared" si="187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34"/>
        <v>1.2</v>
      </c>
      <c r="GE17" s="3">
        <f t="shared" si="54"/>
        <v>11600</v>
      </c>
      <c r="GF17" s="7">
        <f t="shared" si="235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203"/>
        <v>9280</v>
      </c>
      <c r="HQ17" s="7">
        <v>0.8</v>
      </c>
      <c r="HR17" s="3">
        <f t="shared" si="204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f t="shared" si="201"/>
        <v>23</v>
      </c>
      <c r="IZ17" s="25">
        <v>23</v>
      </c>
      <c r="JA17" s="25">
        <v>17</v>
      </c>
      <c r="JB17" s="25">
        <v>7</v>
      </c>
      <c r="JC17" s="25">
        <f t="shared" si="226"/>
        <v>14</v>
      </c>
      <c r="JD17" s="25">
        <f t="shared" si="236"/>
        <v>10</v>
      </c>
      <c r="JE17" s="25">
        <f>JE16+2</f>
        <v>6</v>
      </c>
      <c r="JF17" s="25"/>
      <c r="JG17" s="25"/>
      <c r="JH17" s="25"/>
      <c r="JI17" s="7"/>
      <c r="JJ17" s="8">
        <f t="shared" si="158"/>
        <v>10</v>
      </c>
      <c r="JK17" s="8">
        <v>1</v>
      </c>
      <c r="JL17" s="47">
        <v>1</v>
      </c>
      <c r="JM17" s="25">
        <f t="shared" si="83"/>
        <v>632</v>
      </c>
      <c r="JN17" s="25">
        <f t="shared" si="159"/>
        <v>4725</v>
      </c>
      <c r="JO17" s="47">
        <v>0.5</v>
      </c>
      <c r="JP17" s="25">
        <f t="shared" si="84"/>
        <v>150</v>
      </c>
      <c r="JQ17" s="47">
        <v>2.5</v>
      </c>
      <c r="JR17" s="25">
        <f t="shared" si="85"/>
        <v>4080000</v>
      </c>
      <c r="JS17" s="2">
        <v>2.5</v>
      </c>
      <c r="JT17" s="25">
        <f t="shared" si="86"/>
        <v>385000</v>
      </c>
      <c r="JU17" s="33" t="str">
        <f t="shared" si="87"/>
        <v>8d 18h 50m</v>
      </c>
      <c r="JV17" s="46">
        <v>1.5</v>
      </c>
      <c r="JW17" s="25">
        <f t="shared" si="88"/>
        <v>759000</v>
      </c>
      <c r="JX17" s="7"/>
      <c r="JY17" s="8">
        <f t="shared" si="89"/>
        <v>1</v>
      </c>
      <c r="JZ17" s="5">
        <v>0</v>
      </c>
      <c r="KA17" s="47">
        <v>1</v>
      </c>
      <c r="KB17" s="25">
        <f t="shared" si="90"/>
        <v>0</v>
      </c>
      <c r="KC17" s="25">
        <f t="shared" si="160"/>
        <v>0</v>
      </c>
      <c r="KD17" s="47">
        <v>1</v>
      </c>
      <c r="KE17" s="25">
        <f t="shared" si="91"/>
        <v>0</v>
      </c>
      <c r="KF17" s="47">
        <v>1.5</v>
      </c>
      <c r="KG17" s="25">
        <f>IF(JZ17,baseBetterNumbers(KF17*$DD17),IF(JY17-1,KG16,0))</f>
        <v>0</v>
      </c>
      <c r="KH17" s="2">
        <v>1.5</v>
      </c>
      <c r="KI17" s="25">
        <f t="shared" si="92"/>
        <v>0</v>
      </c>
      <c r="KJ17" s="33" t="str">
        <f t="shared" si="93"/>
        <v>0h 0m</v>
      </c>
      <c r="KK17" s="46">
        <v>1</v>
      </c>
      <c r="KL17" s="25">
        <f t="shared" si="94"/>
        <v>0</v>
      </c>
      <c r="KM17" s="7"/>
      <c r="KN17" s="8">
        <f t="shared" si="161"/>
        <v>15</v>
      </c>
      <c r="KO17" s="8">
        <v>1</v>
      </c>
      <c r="KP17" s="47">
        <v>1</v>
      </c>
      <c r="KQ17" s="25">
        <f t="shared" si="95"/>
        <v>632</v>
      </c>
      <c r="KR17" s="25">
        <f t="shared" si="162"/>
        <v>4862</v>
      </c>
      <c r="KS17" s="47">
        <v>1</v>
      </c>
      <c r="KT17" s="25">
        <f t="shared" si="96"/>
        <v>299</v>
      </c>
      <c r="KU17" s="47">
        <v>1.5</v>
      </c>
      <c r="KV17" s="25">
        <f t="shared" si="97"/>
        <v>2440000</v>
      </c>
      <c r="KW17" s="2">
        <v>1.5</v>
      </c>
      <c r="KX17" s="25">
        <f t="shared" si="98"/>
        <v>231000</v>
      </c>
      <c r="KY17" s="33" t="str">
        <f t="shared" si="99"/>
        <v>5d 20h 33m</v>
      </c>
      <c r="KZ17" s="46">
        <v>1</v>
      </c>
      <c r="LA17" s="25">
        <f t="shared" si="100"/>
        <v>506000</v>
      </c>
      <c r="LB17" s="7"/>
      <c r="LC17" s="8">
        <f t="shared" si="163"/>
        <v>8</v>
      </c>
      <c r="LD17" s="8">
        <v>1</v>
      </c>
      <c r="LE17" s="47">
        <v>1</v>
      </c>
      <c r="LF17" s="25">
        <f t="shared" si="101"/>
        <v>632</v>
      </c>
      <c r="LG17" s="25">
        <f t="shared" si="164"/>
        <v>4509</v>
      </c>
      <c r="LH17" s="47">
        <v>1.5</v>
      </c>
      <c r="LI17" s="25">
        <f t="shared" si="102"/>
        <v>448</v>
      </c>
      <c r="LJ17" s="47">
        <v>1.5</v>
      </c>
      <c r="LK17" s="25">
        <f t="shared" si="103"/>
        <v>2440000</v>
      </c>
      <c r="LL17" s="2">
        <v>1.5</v>
      </c>
      <c r="LM17" s="25">
        <f t="shared" si="165"/>
        <v>231000</v>
      </c>
      <c r="LN17" s="33" t="str">
        <f t="shared" si="104"/>
        <v>5d 20h 33m</v>
      </c>
      <c r="LO17" s="46">
        <v>1</v>
      </c>
      <c r="LP17" s="25">
        <f t="shared" si="105"/>
        <v>506000</v>
      </c>
      <c r="LQ17" s="7"/>
      <c r="LR17" s="8">
        <f t="shared" si="166"/>
        <v>2</v>
      </c>
      <c r="LS17" s="8">
        <v>1</v>
      </c>
      <c r="LT17" s="47">
        <v>1</v>
      </c>
      <c r="LU17" s="25">
        <f t="shared" si="106"/>
        <v>632</v>
      </c>
      <c r="LV17" s="25">
        <f t="shared" si="167"/>
        <v>1207</v>
      </c>
      <c r="LW17" s="47">
        <v>3</v>
      </c>
      <c r="LX17" s="25">
        <f t="shared" si="107"/>
        <v>897</v>
      </c>
      <c r="LY17" s="47">
        <v>2.5</v>
      </c>
      <c r="LZ17" s="25">
        <f t="shared" si="108"/>
        <v>4080000</v>
      </c>
      <c r="MA17" s="2">
        <v>4</v>
      </c>
      <c r="MB17" s="25">
        <f t="shared" si="168"/>
        <v>616000</v>
      </c>
      <c r="MC17" s="33" t="str">
        <f t="shared" si="109"/>
        <v>5d 20h 33m</v>
      </c>
      <c r="MD17" s="46">
        <v>1</v>
      </c>
      <c r="ME17" s="25">
        <f t="shared" si="110"/>
        <v>506000</v>
      </c>
      <c r="MF17" s="7"/>
      <c r="MG17" s="8">
        <f t="shared" si="169"/>
        <v>7</v>
      </c>
      <c r="MH17" s="8">
        <v>1</v>
      </c>
      <c r="MI17" s="47">
        <v>1</v>
      </c>
      <c r="MJ17" s="25">
        <f t="shared" si="111"/>
        <v>632</v>
      </c>
      <c r="MK17" s="25">
        <f t="shared" si="170"/>
        <v>4221</v>
      </c>
      <c r="ML17" s="47">
        <v>0.2</v>
      </c>
      <c r="MM17" s="25">
        <f t="shared" si="112"/>
        <v>60</v>
      </c>
      <c r="MN17" s="47">
        <v>2.5</v>
      </c>
      <c r="MO17" s="25">
        <f t="shared" si="113"/>
        <v>4080000</v>
      </c>
      <c r="MP17" s="2">
        <v>4</v>
      </c>
      <c r="MQ17" s="25">
        <f t="shared" si="171"/>
        <v>616000</v>
      </c>
      <c r="MR17" s="33" t="str">
        <f t="shared" si="114"/>
        <v>5d 20h 33m</v>
      </c>
      <c r="MS17" s="46">
        <v>1</v>
      </c>
      <c r="MT17" s="25">
        <f t="shared" si="115"/>
        <v>506000</v>
      </c>
      <c r="MU17" s="7"/>
      <c r="MV17" s="8">
        <f t="shared" si="172"/>
        <v>13</v>
      </c>
      <c r="MW17" s="8">
        <v>1</v>
      </c>
      <c r="MX17" s="47">
        <v>1</v>
      </c>
      <c r="MY17" s="25">
        <f t="shared" si="116"/>
        <v>632</v>
      </c>
      <c r="MZ17" s="25">
        <f t="shared" si="173"/>
        <v>4851</v>
      </c>
      <c r="NA17" s="47">
        <v>1.5</v>
      </c>
      <c r="NB17" s="25">
        <f t="shared" si="117"/>
        <v>448</v>
      </c>
      <c r="NC17" s="47">
        <v>2.5</v>
      </c>
      <c r="ND17" s="25">
        <f t="shared" si="118"/>
        <v>4080000</v>
      </c>
      <c r="NE17" s="2">
        <v>4</v>
      </c>
      <c r="NF17" s="25">
        <f t="shared" si="174"/>
        <v>616000</v>
      </c>
      <c r="NG17" s="33" t="str">
        <f t="shared" si="119"/>
        <v>5d 20h 33m</v>
      </c>
      <c r="NH17" s="46">
        <v>1</v>
      </c>
      <c r="NI17" s="25">
        <f t="shared" si="120"/>
        <v>506000</v>
      </c>
      <c r="NJ17" s="7"/>
      <c r="NK17" s="8">
        <f t="shared" si="175"/>
        <v>14</v>
      </c>
      <c r="NL17" s="8">
        <v>1</v>
      </c>
      <c r="NM17" s="47">
        <v>1</v>
      </c>
      <c r="NN17" s="25">
        <f t="shared" si="121"/>
        <v>632</v>
      </c>
      <c r="NO17" s="25">
        <f t="shared" si="176"/>
        <v>4860</v>
      </c>
      <c r="NP17" s="47">
        <v>2.5</v>
      </c>
      <c r="NQ17" s="25">
        <f>IF(NL17,baseBetterNumbers(NP17*$DD17),IF(NK17,NQ16,0))</f>
        <v>4080000</v>
      </c>
      <c r="NR17" s="2">
        <v>4</v>
      </c>
      <c r="NS17" s="25">
        <f>IF(NL17,baseBetterNumbers(NR17*$DG17),IF(NK17-1,NS16,0))</f>
        <v>616000</v>
      </c>
      <c r="NT17" s="33" t="str">
        <f t="shared" si="122"/>
        <v>5d 20h 33m</v>
      </c>
      <c r="NU17" s="46">
        <v>1</v>
      </c>
      <c r="NV17" s="25">
        <f>IF(NL17,baseBetterNumbers(NU17*$DK17),IF(NK17,NV16,0))</f>
        <v>506000</v>
      </c>
      <c r="NW17" s="47">
        <v>1.2</v>
      </c>
      <c r="NX17" s="25">
        <f t="shared" si="191"/>
        <v>3411.30756096</v>
      </c>
      <c r="NY17" s="1">
        <f t="shared" si="123"/>
        <v>17056.537804799998</v>
      </c>
      <c r="NZ17" s="1" t="e">
        <f>G17+AJ17*DT17+AL17*EK17+AN17*FE17+AP17*FV17+AR17*GP17+AT17*HG17+AV17*IA17+AX17*IQ17+AZ17*JP17+BD17*KT17+BF17*LI17+BH17*LX17+BJ17*MM17+BL17*NB17+BR17*OH17+BT17*OW17+BV17*#REF!+BX17*#REF!+BZ17*QB17+#REF!*#REF!+#REF!*#REF!</f>
        <v>#REF!</v>
      </c>
      <c r="OB17" s="8">
        <f t="shared" si="177"/>
        <v>12</v>
      </c>
      <c r="OC17" s="8">
        <v>1</v>
      </c>
      <c r="OD17" s="47">
        <v>1</v>
      </c>
      <c r="OE17" s="25">
        <f t="shared" si="124"/>
        <v>632</v>
      </c>
      <c r="OF17" s="25">
        <f t="shared" si="178"/>
        <v>4833</v>
      </c>
      <c r="OG17" s="47">
        <v>2</v>
      </c>
      <c r="OH17" s="25">
        <f t="shared" si="125"/>
        <v>598</v>
      </c>
      <c r="OI17" s="47">
        <v>3</v>
      </c>
      <c r="OJ17" s="25">
        <f t="shared" si="126"/>
        <v>4890000</v>
      </c>
      <c r="OK17" s="2">
        <v>4</v>
      </c>
      <c r="OL17" s="25">
        <f t="shared" si="179"/>
        <v>616000</v>
      </c>
      <c r="OM17" s="33" t="str">
        <f t="shared" si="127"/>
        <v>11d 16h 33m</v>
      </c>
      <c r="ON17" s="46">
        <v>2</v>
      </c>
      <c r="OO17" s="25">
        <f t="shared" si="128"/>
        <v>1010000</v>
      </c>
      <c r="OP17" s="7"/>
      <c r="OQ17" s="8">
        <f t="shared" si="180"/>
        <v>12</v>
      </c>
      <c r="OR17" s="8">
        <v>1</v>
      </c>
      <c r="OS17" s="47">
        <v>1</v>
      </c>
      <c r="OT17" s="25">
        <f t="shared" si="129"/>
        <v>632</v>
      </c>
      <c r="OU17" s="25">
        <f t="shared" si="181"/>
        <v>4833</v>
      </c>
      <c r="OV17" s="47">
        <v>2</v>
      </c>
      <c r="OW17" s="25">
        <f t="shared" si="130"/>
        <v>598</v>
      </c>
      <c r="OX17" s="47">
        <v>4</v>
      </c>
      <c r="OY17" s="25">
        <f t="shared" si="131"/>
        <v>6520000</v>
      </c>
      <c r="OZ17" s="2">
        <v>4</v>
      </c>
      <c r="PA17" s="25">
        <f t="shared" si="182"/>
        <v>616000</v>
      </c>
      <c r="PB17" s="33" t="str">
        <f t="shared" si="132"/>
        <v>11d 16h 33m</v>
      </c>
      <c r="PC17" s="46">
        <v>2</v>
      </c>
      <c r="PD17" s="25">
        <f t="shared" si="133"/>
        <v>1010000</v>
      </c>
      <c r="PE17" s="82">
        <f t="shared" si="197"/>
        <v>0.1999999999999999</v>
      </c>
      <c r="PF17" s="82">
        <v>0.5</v>
      </c>
      <c r="PG17" s="78" t="str">
        <f t="shared" si="194"/>
        <v>5h 0m</v>
      </c>
      <c r="PH17" s="25">
        <v>18000</v>
      </c>
      <c r="PI17" s="47">
        <v>1.5</v>
      </c>
      <c r="PJ17" s="25">
        <f>baseBetterNumbers(DD17*PI17)</f>
        <v>2440000</v>
      </c>
      <c r="PK17" s="82">
        <f t="shared" si="198"/>
        <v>1.0000000000000004</v>
      </c>
      <c r="PL17" s="82">
        <f t="shared" si="208"/>
        <v>0.24999999999999997</v>
      </c>
      <c r="PM17" s="25">
        <v>0</v>
      </c>
      <c r="PN17" s="78" t="str">
        <f t="shared" si="195"/>
        <v>20h 0m</v>
      </c>
      <c r="PO17" s="25">
        <f t="shared" si="196"/>
        <v>72000</v>
      </c>
      <c r="PP17" s="47">
        <v>10</v>
      </c>
      <c r="PQ17" s="25">
        <f>baseBetterNumbers(DD17*PP17)</f>
        <v>16300000</v>
      </c>
      <c r="PR17" s="82">
        <v>1</v>
      </c>
      <c r="PS17" s="82">
        <f t="shared" si="199"/>
        <v>0.80000000000000016</v>
      </c>
      <c r="PT17" s="82">
        <f t="shared" si="205"/>
        <v>0.27499999999999997</v>
      </c>
      <c r="PU17" s="25"/>
      <c r="PV17" s="8">
        <f t="shared" si="217"/>
        <v>7</v>
      </c>
      <c r="PW17" s="5">
        <v>1</v>
      </c>
      <c r="PX17" s="47">
        <v>1</v>
      </c>
      <c r="PY17" s="25">
        <f t="shared" si="218"/>
        <v>632</v>
      </c>
      <c r="PZ17" s="25">
        <f t="shared" si="219"/>
        <v>4221</v>
      </c>
      <c r="QA17" s="47">
        <f t="shared" si="227"/>
        <v>2</v>
      </c>
      <c r="QB17" s="25">
        <f t="shared" si="220"/>
        <v>598</v>
      </c>
      <c r="QC17" s="47">
        <v>2</v>
      </c>
      <c r="QD17" s="25">
        <f t="shared" si="221"/>
        <v>3260000</v>
      </c>
      <c r="QE17" s="2">
        <f t="shared" si="228"/>
        <v>6</v>
      </c>
      <c r="QF17" s="25">
        <f t="shared" si="222"/>
        <v>924000</v>
      </c>
      <c r="QG17" s="33" t="str">
        <f t="shared" si="223"/>
        <v>8d 18h 50m</v>
      </c>
      <c r="QH17" s="46">
        <f t="shared" si="229"/>
        <v>1.5</v>
      </c>
      <c r="QI17" s="25">
        <f t="shared" si="224"/>
        <v>759000</v>
      </c>
    </row>
    <row r="18" spans="1:451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Y18" s="3"/>
      <c r="OZ18" s="3"/>
    </row>
    <row r="19" spans="1:451" ht="14" customHeight="1">
      <c r="O19" s="105" t="s">
        <v>115</v>
      </c>
      <c r="P19" s="105"/>
      <c r="Q19" s="105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7" t="s">
        <v>117</v>
      </c>
      <c r="EC19" s="107"/>
      <c r="ES19" s="105" t="s">
        <v>118</v>
      </c>
      <c r="ET19" s="105"/>
      <c r="EU19" s="105" t="s">
        <v>119</v>
      </c>
      <c r="EV19" s="105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3" t="s">
        <v>120</v>
      </c>
      <c r="HP19" s="103"/>
      <c r="HQ19" s="103" t="s">
        <v>121</v>
      </c>
      <c r="HR19" s="103"/>
      <c r="HS19" s="3"/>
      <c r="HT19" s="3"/>
    </row>
    <row r="20" spans="1:451" ht="14" customHeight="1">
      <c r="O20" s="105"/>
      <c r="P20" s="105"/>
      <c r="Q20" s="105"/>
      <c r="R20" s="64"/>
      <c r="EB20" s="107"/>
      <c r="EC20" s="107"/>
      <c r="ES20" s="105"/>
      <c r="ET20" s="105"/>
      <c r="EU20" s="105"/>
      <c r="EV20" s="105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3"/>
      <c r="HP20" s="103"/>
      <c r="HQ20" s="103"/>
      <c r="HR20" s="103"/>
      <c r="HS20" s="3"/>
      <c r="HT20" s="3"/>
    </row>
    <row r="21" spans="1:451" ht="14" customHeight="1">
      <c r="O21" s="106"/>
      <c r="P21" s="106"/>
      <c r="Q21" s="106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8"/>
      <c r="EC21" s="108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6"/>
      <c r="ET21" s="106"/>
      <c r="EU21" s="106"/>
      <c r="EV21" s="106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4"/>
      <c r="HP21" s="104"/>
      <c r="HQ21" s="104"/>
      <c r="HR21" s="104"/>
      <c r="HS21" s="3"/>
      <c r="HT21" s="3"/>
    </row>
    <row r="22" spans="1:451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J22" s="9"/>
      <c r="JK22" s="9"/>
      <c r="JL22" s="9"/>
      <c r="JM22" s="30"/>
      <c r="JN22" s="30"/>
      <c r="JO22" s="30"/>
      <c r="JP22" s="30"/>
      <c r="JQ22" s="30"/>
      <c r="KN22" s="9"/>
      <c r="KO22" s="9"/>
      <c r="KP22" s="9"/>
      <c r="KQ22" s="30"/>
      <c r="KR22" s="30"/>
      <c r="KS22" s="30"/>
      <c r="KT22" s="30"/>
      <c r="KU22" s="30"/>
      <c r="LC22" s="9"/>
      <c r="LD22" s="9"/>
      <c r="LE22" s="9"/>
      <c r="LF22" s="30"/>
      <c r="LG22" s="30"/>
      <c r="LH22" s="30"/>
      <c r="LI22" s="30"/>
      <c r="LJ22" s="30"/>
      <c r="LR22" s="9"/>
      <c r="LS22" s="9"/>
      <c r="LT22" s="9"/>
      <c r="MG22" s="9"/>
      <c r="MH22" s="9"/>
      <c r="MI22" s="9"/>
      <c r="MJ22" s="30"/>
      <c r="MK22" s="30"/>
      <c r="ML22" s="30"/>
      <c r="MM22" s="30"/>
      <c r="MN22" s="30"/>
      <c r="MV22" s="9"/>
      <c r="MW22" s="9"/>
      <c r="MX22" s="9"/>
      <c r="MY22" s="30"/>
      <c r="MZ22" s="30"/>
      <c r="NA22" s="30"/>
      <c r="NB22" s="30"/>
      <c r="NC22" s="30"/>
      <c r="NK22" s="9"/>
      <c r="NL22" s="9"/>
      <c r="NM22" s="9"/>
      <c r="NN22" s="30"/>
      <c r="NO22" s="30"/>
      <c r="NP22" s="30"/>
      <c r="NW22" s="14"/>
      <c r="PE22" s="83"/>
      <c r="PF22" s="83"/>
      <c r="PG22" s="79"/>
      <c r="PI22" s="14"/>
      <c r="PK22" s="83"/>
      <c r="PL22" s="83"/>
      <c r="PT22" s="83"/>
    </row>
    <row r="23" spans="1:451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51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51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51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51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51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51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51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51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PV1:QI1"/>
    <mergeCell ref="CC1:CG1"/>
    <mergeCell ref="CI1:CM1"/>
    <mergeCell ref="CO1:CS1"/>
    <mergeCell ref="MV1:NF1"/>
    <mergeCell ref="NK1:NS1"/>
    <mergeCell ref="OB1:OL1"/>
    <mergeCell ref="OQ1:PA1"/>
    <mergeCell ref="MG1:MQ1"/>
    <mergeCell ref="JJ1:JT1"/>
    <mergeCell ref="KN1:KX1"/>
    <mergeCell ref="LR1:MB1"/>
    <mergeCell ref="HA1:HR1"/>
    <mergeCell ref="A1:R1"/>
    <mergeCell ref="DN1:EC1"/>
    <mergeCell ref="HU1:II1"/>
    <mergeCell ref="IK1:IU1"/>
    <mergeCell ref="LC1:LM1"/>
    <mergeCell ref="JY1:KI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BL1:BM1"/>
    <mergeCell ref="BV1:BW1"/>
    <mergeCell ref="BX1:BY1"/>
    <mergeCell ref="BZ1:CA1"/>
    <mergeCell ref="BF1:BG1"/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</mergeCells>
  <phoneticPr fontId="1" type="noConversion"/>
  <pageMargins left="0.7" right="0.7" top="0.75" bottom="0.75" header="0.3" footer="0.3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BS1" activePane="topRight" state="frozen"/>
      <selection pane="topRight" activeCell="BY8" sqref="BY8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3" t="s">
        <v>1</v>
      </c>
      <c r="B1" s="113"/>
      <c r="C1" s="113"/>
      <c r="D1" s="113"/>
      <c r="E1" s="113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4" t="s">
        <v>2</v>
      </c>
      <c r="T1" s="114"/>
      <c r="U1" s="114"/>
      <c r="V1" s="114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11" t="s">
        <v>3</v>
      </c>
      <c r="AW1" s="111"/>
      <c r="AX1" s="111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11" t="s">
        <v>4</v>
      </c>
      <c r="BJ1" s="111"/>
      <c r="BK1" s="111"/>
      <c r="BL1" s="111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5" t="s">
        <v>6</v>
      </c>
      <c r="CK1" s="115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5" t="s">
        <v>5</v>
      </c>
      <c r="DC1" s="115"/>
      <c r="DD1" s="55"/>
      <c r="DE1" s="55"/>
      <c r="DF1" s="55"/>
      <c r="DG1" s="55"/>
      <c r="DH1" s="55"/>
      <c r="DI1" s="55"/>
      <c r="DJ1" s="55"/>
      <c r="DK1" s="55"/>
      <c r="DL1" s="109" t="s">
        <v>36</v>
      </c>
      <c r="DM1" s="109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Numbers!NX2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Numbers!NK3</f>
        <v>0</v>
      </c>
      <c r="DM3" s="27">
        <f>Numbers!BP3</f>
        <v>0</v>
      </c>
      <c r="DN3" s="27">
        <f>Numbers!NX3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Numbers!NK4</f>
        <v>1</v>
      </c>
      <c r="DM4" s="27">
        <f>Numbers!BP4</f>
        <v>1</v>
      </c>
      <c r="DN4" s="27">
        <f>Numbers!NX4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Numbers!NK5</f>
        <v>2</v>
      </c>
      <c r="DM5" s="27">
        <f>Numbers!BP5</f>
        <v>1</v>
      </c>
      <c r="DN5" s="27">
        <f>Numbers!NX5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Numbers!NK6</f>
        <v>3</v>
      </c>
      <c r="DM6" s="27">
        <f>Numbers!BP6</f>
        <v>2</v>
      </c>
      <c r="DN6" s="27">
        <f>Numbers!NX6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Numbers!NK7</f>
        <v>4</v>
      </c>
      <c r="DM7" s="27">
        <f>Numbers!BP7</f>
        <v>2</v>
      </c>
      <c r="DN7" s="27">
        <f>Numbers!NX7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Numbers!NK8</f>
        <v>5</v>
      </c>
      <c r="DM8" s="27">
        <f>Numbers!BP8</f>
        <v>2</v>
      </c>
      <c r="DN8" s="27">
        <f>Numbers!NX8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Numbers!NK9</f>
        <v>6</v>
      </c>
      <c r="DM9" s="27">
        <f>Numbers!BP9</f>
        <v>3</v>
      </c>
      <c r="DN9" s="27">
        <f>Numbers!NX9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Numbers!NK10</f>
        <v>7</v>
      </c>
      <c r="DM10" s="27">
        <f>Numbers!BP10</f>
        <v>3</v>
      </c>
      <c r="DN10" s="27">
        <f>Numbers!NX10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Numbers!NK11</f>
        <v>8</v>
      </c>
      <c r="DM11" s="27">
        <f>Numbers!BP11</f>
        <v>3</v>
      </c>
      <c r="DN11" s="27">
        <f>Numbers!NX11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Numbers!NK12</f>
        <v>9</v>
      </c>
      <c r="DM12" s="27">
        <f>Numbers!BP12</f>
        <v>4</v>
      </c>
      <c r="DN12" s="27">
        <f>Numbers!NX12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Numbers!NK13</f>
        <v>10</v>
      </c>
      <c r="DM13" s="27">
        <f>Numbers!BP13</f>
        <v>4</v>
      </c>
      <c r="DN13" s="27">
        <f>Numbers!NX13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Numbers!NK14</f>
        <v>11</v>
      </c>
      <c r="DM14" s="27">
        <f>Numbers!BP14</f>
        <v>4</v>
      </c>
      <c r="DN14" s="27">
        <f>Numbers!NX14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Numbers!NK15</f>
        <v>12</v>
      </c>
      <c r="DM15" s="27">
        <f>Numbers!BP15</f>
        <v>5</v>
      </c>
      <c r="DN15" s="27">
        <f>Numbers!NX15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Numbers!NK16</f>
        <v>13</v>
      </c>
      <c r="DM16" s="27">
        <f>Numbers!BP16</f>
        <v>5</v>
      </c>
      <c r="DN16" s="27">
        <f>Numbers!NX16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Numbers!NK17</f>
        <v>14</v>
      </c>
      <c r="DM17" s="27">
        <f>Numbers!BP17</f>
        <v>5</v>
      </c>
      <c r="DN17" s="27">
        <f>Numbers!NX17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51" zoomScale="125" zoomScaleNormal="125" zoomScalePageLayoutView="125" workbookViewId="0">
      <selection activeCell="A68" sqref="A68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6" t="str">
        <f>Numbers!MV1</f>
        <v>bots</v>
      </c>
      <c r="B1" s="116"/>
      <c r="C1" s="116"/>
      <c r="D1" s="116"/>
      <c r="E1" s="65"/>
      <c r="F1" s="65"/>
      <c r="H1" t="str">
        <f>Numbers!A1</f>
        <v>commandCenter</v>
      </c>
      <c r="M1" s="116" t="str">
        <f>Numbers!EE1</f>
        <v>crystaliteFarm</v>
      </c>
      <c r="N1" s="116"/>
      <c r="O1" s="116"/>
      <c r="P1" s="65"/>
      <c r="Q1" s="65"/>
      <c r="R1" s="65"/>
      <c r="S1" s="65"/>
      <c r="U1" s="116" t="str">
        <f>Numbers!FP1</f>
        <v>adamantiteMine</v>
      </c>
      <c r="V1" s="116"/>
      <c r="W1" s="116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Numbers!OQ1</f>
        <v>garbage</v>
      </c>
    </row>
    <row r="2" spans="1:45">
      <c r="A2" s="68" t="str">
        <f>Numbers!MV2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Numbers!OQ2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Numbers!MV3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Numbers!OQ3</f>
        <v>0</v>
      </c>
    </row>
    <row r="4" spans="1:45">
      <c r="A4" s="68">
        <f>Numbers!MV4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Numbers!OQ4</f>
        <v>0</v>
      </c>
    </row>
    <row r="5" spans="1:45">
      <c r="A5" s="68">
        <f>Numbers!MV5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Numbers!OQ5</f>
        <v>0</v>
      </c>
    </row>
    <row r="6" spans="1:45">
      <c r="A6" s="68">
        <f>Numbers!MV6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Numbers!OQ6</f>
        <v>1</v>
      </c>
      <c r="AR6">
        <v>2</v>
      </c>
      <c r="AS6">
        <v>30</v>
      </c>
    </row>
    <row r="7" spans="1:45">
      <c r="A7" s="68">
        <f>Numbers!MV7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Numbers!OQ7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Numbers!MV8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Numbers!OQ8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Numbers!MV9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Numbers!OQ9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Numbers!MV10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Numbers!OQ10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Numbers!MV11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Numbers!OQ11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Numbers!MV12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Numbers!OQ12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Numbers!MV13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Numbers!OQ13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Numbers!MV14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Numbers!OQ14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Numbers!MV15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Numbers!OQ15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Numbers!MV16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Numbers!OQ16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Numbers!MV17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Numbers!OQ17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6" t="s">
        <v>59</v>
      </c>
      <c r="D2" s="116"/>
      <c r="E2" s="116"/>
      <c r="F2" s="116" t="s">
        <v>64</v>
      </c>
      <c r="G2" s="116"/>
      <c r="H2" s="116"/>
      <c r="I2" s="116" t="s">
        <v>65</v>
      </c>
      <c r="J2" s="116"/>
      <c r="K2" s="116"/>
    </row>
    <row r="3" spans="2:26">
      <c r="B3" s="117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7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7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6" t="s">
        <v>2</v>
      </c>
      <c r="D8" s="116"/>
      <c r="E8" s="116"/>
      <c r="F8" s="116"/>
      <c r="G8" s="116" t="s">
        <v>1</v>
      </c>
      <c r="H8" s="116"/>
      <c r="I8" s="116"/>
      <c r="J8" s="116"/>
      <c r="K8" s="116" t="s">
        <v>3</v>
      </c>
      <c r="L8" s="116"/>
      <c r="M8" s="116"/>
      <c r="N8" s="116"/>
      <c r="O8" s="116" t="s">
        <v>4</v>
      </c>
      <c r="P8" s="116"/>
      <c r="Q8" s="116"/>
      <c r="R8" s="116"/>
      <c r="S8" s="116" t="s">
        <v>5</v>
      </c>
      <c r="T8" s="116"/>
      <c r="U8" s="116"/>
      <c r="V8" s="116"/>
      <c r="W8" s="116" t="s">
        <v>6</v>
      </c>
      <c r="X8" s="116"/>
      <c r="Y8" s="116"/>
      <c r="Z8" s="116"/>
    </row>
    <row r="9" spans="2:26">
      <c r="B9" s="117" t="s">
        <v>67</v>
      </c>
      <c r="C9" s="116" t="s">
        <v>59</v>
      </c>
      <c r="D9" s="116"/>
      <c r="E9" s="116" t="s">
        <v>65</v>
      </c>
      <c r="F9" s="116"/>
      <c r="G9" s="116" t="s">
        <v>59</v>
      </c>
      <c r="H9" s="116"/>
      <c r="I9" s="116" t="s">
        <v>65</v>
      </c>
      <c r="J9" s="116"/>
      <c r="K9" s="116" t="s">
        <v>59</v>
      </c>
      <c r="L9" s="116"/>
      <c r="M9" s="116" t="s">
        <v>65</v>
      </c>
      <c r="N9" s="116"/>
      <c r="O9" s="116" t="s">
        <v>59</v>
      </c>
      <c r="P9" s="116"/>
      <c r="Q9" s="116" t="s">
        <v>65</v>
      </c>
      <c r="R9" s="116"/>
      <c r="S9" s="116" t="s">
        <v>59</v>
      </c>
      <c r="T9" s="116"/>
      <c r="U9" s="116" t="s">
        <v>65</v>
      </c>
      <c r="V9" s="116"/>
      <c r="W9" s="116" t="s">
        <v>59</v>
      </c>
      <c r="X9" s="116"/>
      <c r="Y9" s="116" t="s">
        <v>65</v>
      </c>
      <c r="Z9" s="116"/>
    </row>
    <row r="10" spans="2:26">
      <c r="B10" s="117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7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7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8" t="s">
        <v>7</v>
      </c>
      <c r="D15" s="118"/>
      <c r="E15" s="118"/>
      <c r="F15" s="118"/>
      <c r="G15" s="118" t="s">
        <v>8</v>
      </c>
      <c r="H15" s="118"/>
      <c r="I15" s="118"/>
      <c r="J15" s="118"/>
      <c r="K15" s="118" t="s">
        <v>9</v>
      </c>
      <c r="L15" s="118"/>
      <c r="M15" s="118"/>
      <c r="N15" s="118"/>
      <c r="O15" s="118" t="s">
        <v>33</v>
      </c>
      <c r="P15" s="118"/>
      <c r="Q15" s="118"/>
      <c r="R15" s="118"/>
      <c r="S15" s="118" t="s">
        <v>36</v>
      </c>
      <c r="T15" s="118"/>
      <c r="U15" s="118"/>
      <c r="V15" s="118"/>
      <c r="W15" s="118" t="s">
        <v>27</v>
      </c>
      <c r="X15" s="118"/>
      <c r="Y15" s="118"/>
      <c r="Z15" s="118"/>
    </row>
    <row r="16" spans="2:26">
      <c r="B16" s="117" t="s">
        <v>67</v>
      </c>
      <c r="C16" s="116" t="s">
        <v>59</v>
      </c>
      <c r="D16" s="116"/>
      <c r="E16" s="116" t="s">
        <v>65</v>
      </c>
      <c r="F16" s="116"/>
      <c r="G16" s="116" t="s">
        <v>59</v>
      </c>
      <c r="H16" s="116"/>
      <c r="I16" s="116" t="s">
        <v>65</v>
      </c>
      <c r="J16" s="116"/>
      <c r="K16" s="116" t="s">
        <v>59</v>
      </c>
      <c r="L16" s="116"/>
      <c r="M16" s="116" t="s">
        <v>65</v>
      </c>
      <c r="N16" s="116"/>
      <c r="O16" s="116" t="s">
        <v>59</v>
      </c>
      <c r="P16" s="116"/>
      <c r="Q16" s="116" t="s">
        <v>65</v>
      </c>
      <c r="R16" s="116"/>
      <c r="S16" s="116" t="s">
        <v>59</v>
      </c>
      <c r="T16" s="116"/>
      <c r="U16" s="116" t="s">
        <v>65</v>
      </c>
      <c r="V16" s="116"/>
      <c r="W16" s="116" t="s">
        <v>59</v>
      </c>
      <c r="X16" s="116"/>
      <c r="Y16" s="116" t="s">
        <v>65</v>
      </c>
      <c r="Z16" s="116"/>
    </row>
    <row r="17" spans="2:26">
      <c r="B17" s="117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7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7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8" t="s">
        <v>28</v>
      </c>
      <c r="D23" s="118"/>
      <c r="E23" s="118"/>
      <c r="F23" s="118"/>
      <c r="G23" s="118"/>
      <c r="H23" s="118"/>
      <c r="I23" s="118"/>
      <c r="J23" s="118"/>
      <c r="K23" s="118" t="s">
        <v>31</v>
      </c>
      <c r="L23" s="118"/>
      <c r="M23" s="118"/>
      <c r="N23" s="118"/>
      <c r="O23" s="118" t="s">
        <v>0</v>
      </c>
      <c r="P23" s="118"/>
      <c r="Q23" s="118"/>
      <c r="R23" s="118"/>
      <c r="S23" s="118"/>
      <c r="T23" s="118"/>
      <c r="U23" s="118"/>
      <c r="V23" s="118"/>
      <c r="W23" s="116"/>
      <c r="X23" s="116"/>
      <c r="Y23" s="116"/>
      <c r="Z23" s="116"/>
    </row>
    <row r="24" spans="2:26">
      <c r="B24" s="117" t="s">
        <v>67</v>
      </c>
      <c r="C24" s="116" t="s">
        <v>59</v>
      </c>
      <c r="D24" s="116"/>
      <c r="E24" s="116" t="s">
        <v>65</v>
      </c>
      <c r="F24" s="116"/>
      <c r="G24" s="116"/>
      <c r="H24" s="116"/>
      <c r="I24" s="116"/>
      <c r="J24" s="116"/>
      <c r="K24" s="116" t="s">
        <v>59</v>
      </c>
      <c r="L24" s="116"/>
      <c r="M24" s="116" t="s">
        <v>65</v>
      </c>
      <c r="N24" s="116"/>
      <c r="O24" s="116" t="s">
        <v>59</v>
      </c>
      <c r="P24" s="116"/>
      <c r="Q24" s="116" t="s">
        <v>65</v>
      </c>
      <c r="R24" s="116"/>
      <c r="S24" s="116"/>
      <c r="T24" s="116"/>
      <c r="U24" s="116"/>
      <c r="V24" s="116"/>
      <c r="W24" s="116"/>
      <c r="X24" s="116"/>
      <c r="Y24" s="116"/>
      <c r="Z24" s="116"/>
    </row>
    <row r="25" spans="2:26">
      <c r="B25" s="117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7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7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6" t="s">
        <v>10</v>
      </c>
      <c r="D31" s="116"/>
      <c r="E31" s="116"/>
      <c r="F31" s="116"/>
      <c r="G31" s="116" t="s">
        <v>11</v>
      </c>
      <c r="H31" s="116"/>
      <c r="I31" s="116"/>
      <c r="J31" s="116"/>
      <c r="K31" s="116" t="s">
        <v>12</v>
      </c>
      <c r="L31" s="116"/>
      <c r="M31" s="116"/>
      <c r="N31" s="116"/>
      <c r="O31" s="116" t="s">
        <v>35</v>
      </c>
      <c r="P31" s="116"/>
      <c r="Q31" s="116"/>
      <c r="R31" s="116"/>
      <c r="S31" s="116" t="s">
        <v>30</v>
      </c>
      <c r="T31" s="116"/>
      <c r="U31" s="116"/>
      <c r="V31" s="116"/>
      <c r="W31" s="116"/>
      <c r="X31" s="116"/>
      <c r="Y31" s="116"/>
      <c r="Z31" s="116"/>
    </row>
    <row r="32" spans="2:26">
      <c r="B32" s="117" t="s">
        <v>67</v>
      </c>
      <c r="C32" s="116" t="s">
        <v>59</v>
      </c>
      <c r="D32" s="116"/>
      <c r="E32" s="116" t="s">
        <v>65</v>
      </c>
      <c r="F32" s="116"/>
      <c r="G32" s="116" t="s">
        <v>59</v>
      </c>
      <c r="H32" s="116"/>
      <c r="I32" s="116" t="s">
        <v>65</v>
      </c>
      <c r="J32" s="116"/>
      <c r="K32" s="116" t="s">
        <v>59</v>
      </c>
      <c r="L32" s="116"/>
      <c r="M32" s="116" t="s">
        <v>65</v>
      </c>
      <c r="N32" s="116"/>
      <c r="O32" s="116" t="s">
        <v>59</v>
      </c>
      <c r="P32" s="116"/>
      <c r="Q32" s="116" t="s">
        <v>65</v>
      </c>
      <c r="R32" s="116"/>
      <c r="S32" s="116" t="s">
        <v>59</v>
      </c>
      <c r="T32" s="116"/>
      <c r="U32" s="116" t="s">
        <v>65</v>
      </c>
      <c r="V32" s="116"/>
      <c r="W32" s="116"/>
      <c r="X32" s="116"/>
      <c r="Y32" s="116"/>
      <c r="Z32" s="116"/>
    </row>
    <row r="33" spans="2:22">
      <c r="B33" s="117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7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7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6" t="s">
        <v>70</v>
      </c>
      <c r="D38" s="116"/>
    </row>
    <row r="39" spans="2:22">
      <c r="B39" s="117" t="s">
        <v>69</v>
      </c>
      <c r="D39">
        <v>1.5</v>
      </c>
    </row>
    <row r="40" spans="2:22">
      <c r="B40" s="117"/>
      <c r="C40">
        <v>5</v>
      </c>
      <c r="D40">
        <v>1.2</v>
      </c>
    </row>
    <row r="41" spans="2:22">
      <c r="B41" s="117"/>
      <c r="C41">
        <v>10</v>
      </c>
      <c r="D41">
        <v>1.1000000000000001</v>
      </c>
    </row>
    <row r="42" spans="2:22">
      <c r="B42" s="117"/>
    </row>
    <row r="44" spans="2:22">
      <c r="C44" s="116" t="s">
        <v>70</v>
      </c>
      <c r="D44" s="116"/>
    </row>
    <row r="45" spans="2:22">
      <c r="B45" s="117" t="s">
        <v>82</v>
      </c>
      <c r="D45">
        <v>1.4</v>
      </c>
    </row>
    <row r="46" spans="2:22">
      <c r="B46" s="117"/>
      <c r="C46">
        <v>5</v>
      </c>
      <c r="D46">
        <v>1.3</v>
      </c>
    </row>
    <row r="47" spans="2:22">
      <c r="B47" s="117"/>
      <c r="C47">
        <v>10</v>
      </c>
      <c r="D47">
        <v>1.2</v>
      </c>
    </row>
    <row r="48" spans="2:22">
      <c r="B48" s="117"/>
    </row>
    <row r="50" spans="2:5">
      <c r="C50" s="116" t="s">
        <v>70</v>
      </c>
      <c r="D50" s="116"/>
    </row>
    <row r="51" spans="2:5">
      <c r="B51" s="117" t="s">
        <v>83</v>
      </c>
      <c r="D51">
        <v>2</v>
      </c>
    </row>
    <row r="52" spans="2:5">
      <c r="B52" s="117"/>
      <c r="C52">
        <v>6</v>
      </c>
      <c r="D52">
        <v>1.3</v>
      </c>
    </row>
    <row r="53" spans="2:5">
      <c r="B53" s="117"/>
      <c r="C53">
        <v>10</v>
      </c>
      <c r="D53">
        <v>1.1000000000000001</v>
      </c>
    </row>
    <row r="54" spans="2:5">
      <c r="B54" s="117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24:B27"/>
    <mergeCell ref="C24:D24"/>
    <mergeCell ref="E24:F24"/>
    <mergeCell ref="G24:H24"/>
    <mergeCell ref="I24:J24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16:B19"/>
    <mergeCell ref="C16:D16"/>
    <mergeCell ref="E16:F16"/>
    <mergeCell ref="G16:H16"/>
    <mergeCell ref="I16:J16"/>
    <mergeCell ref="C15:F15"/>
    <mergeCell ref="G15:J15"/>
    <mergeCell ref="K15:N15"/>
    <mergeCell ref="O15:R15"/>
    <mergeCell ref="S15:V15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Q9:R9"/>
    <mergeCell ref="C2:E2"/>
    <mergeCell ref="F2:H2"/>
    <mergeCell ref="I2:K2"/>
    <mergeCell ref="B9:B12"/>
    <mergeCell ref="G9:H9"/>
    <mergeCell ref="I9:J9"/>
    <mergeCell ref="G8:J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E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baseBetterNumbers(Numbers!NY5*0.8)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baseBetterNumbers(Numbers!NY8*0.8)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baseBetterNumbers(Numbers!NY12*0.8)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6" t="s">
        <v>233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Numbers!IZ2</f>
        <v>max.infantryBot</v>
      </c>
      <c r="K2" t="str">
        <f>Numbers!JA2</f>
        <v>max.rocketBot</v>
      </c>
      <c r="L2" t="str">
        <f>Numbers!JB2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Numbers!IZ3</f>
        <v>0</v>
      </c>
      <c r="K3">
        <f>Numbers!JA3</f>
        <v>0</v>
      </c>
      <c r="L3">
        <f>Numbers!JB3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Numbers!IZ4</f>
        <v>0</v>
      </c>
      <c r="K4">
        <f>Numbers!JA4</f>
        <v>0</v>
      </c>
      <c r="L4">
        <f>Numbers!JB4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Numbers!IZ5</f>
        <v>0</v>
      </c>
      <c r="K5">
        <f>Numbers!JA5</f>
        <v>0</v>
      </c>
      <c r="L5">
        <f>Numbers!JB5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Numbers!IZ6</f>
        <v>0</v>
      </c>
      <c r="K6">
        <f>Numbers!JA6</f>
        <v>0</v>
      </c>
      <c r="L6">
        <f>Numbers!JB6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Numbers!IZ7</f>
        <v>3</v>
      </c>
      <c r="K7">
        <f>Numbers!JA7</f>
        <v>0</v>
      </c>
      <c r="L7">
        <f>Numbers!JB7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Numbers!IZ8</f>
        <v>5</v>
      </c>
      <c r="K8">
        <f>Numbers!JA8</f>
        <v>0</v>
      </c>
      <c r="L8">
        <f>Numbers!JB8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Numbers!IZ9</f>
        <v>7</v>
      </c>
      <c r="K9">
        <f>Numbers!JA9</f>
        <v>0</v>
      </c>
      <c r="L9">
        <f>Numbers!JB9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Numbers!IZ10</f>
        <v>9</v>
      </c>
      <c r="K10">
        <f>Numbers!JA10</f>
        <v>3</v>
      </c>
      <c r="L10">
        <f>Numbers!JB10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Numbers!IZ11</f>
        <v>11</v>
      </c>
      <c r="K11">
        <f>Numbers!JA11</f>
        <v>5</v>
      </c>
      <c r="L11">
        <f>Numbers!JB11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Numbers!IZ12</f>
        <v>13</v>
      </c>
      <c r="K12">
        <f>Numbers!JA12</f>
        <v>7</v>
      </c>
      <c r="L12">
        <f>Numbers!JB12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Numbers!IZ13</f>
        <v>15</v>
      </c>
      <c r="K13">
        <f>Numbers!JA13</f>
        <v>9</v>
      </c>
      <c r="L13">
        <f>Numbers!JB13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Numbers!IZ14</f>
        <v>17</v>
      </c>
      <c r="K14">
        <f>Numbers!JA14</f>
        <v>11</v>
      </c>
      <c r="L14">
        <f>Numbers!JB14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Numbers!IZ15</f>
        <v>19</v>
      </c>
      <c r="K15">
        <f>Numbers!JA15</f>
        <v>13</v>
      </c>
      <c r="L15">
        <f>Numbers!JB15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Numbers!IZ16</f>
        <v>21</v>
      </c>
      <c r="K16">
        <f>Numbers!JA16</f>
        <v>15</v>
      </c>
      <c r="L16">
        <f>Numbers!JB16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Numbers!IZ17</f>
        <v>23</v>
      </c>
      <c r="K17">
        <f>Numbers!JA17</f>
        <v>17</v>
      </c>
      <c r="L17">
        <f>Numbers!JB17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L17"/>
  <sheetViews>
    <sheetView workbookViewId="0">
      <pane xSplit="1" topLeftCell="W1" activePane="topRight" state="frozen"/>
      <selection pane="topRight" activeCell="BX3" sqref="BX3"/>
    </sheetView>
  </sheetViews>
  <sheetFormatPr baseColWidth="10" defaultRowHeight="15" x14ac:dyDescent="0"/>
  <cols>
    <col min="1" max="1" width="16.6640625" customWidth="1"/>
    <col min="2" max="2" width="6.83203125" customWidth="1"/>
    <col min="3" max="5" width="9.6640625" customWidth="1"/>
    <col min="14" max="15" width="16.6640625" customWidth="1"/>
    <col min="24" max="24" width="13.5" customWidth="1"/>
    <col min="34" max="34" width="14.6640625" customWidth="1"/>
    <col min="76" max="76" width="12.6640625" customWidth="1"/>
  </cols>
  <sheetData>
    <row r="1" spans="1:116">
      <c r="A1" t="str">
        <f>Numbers!A1</f>
        <v>commandCenter</v>
      </c>
      <c r="F1" t="str">
        <f>Numbers!KN1</f>
        <v>sentryGun</v>
      </c>
      <c r="P1" t="str">
        <f>Numbers!LC1</f>
        <v>machineGun</v>
      </c>
      <c r="Z1" t="str">
        <f>Numbers!LR1</f>
        <v>rocketGun</v>
      </c>
      <c r="AJ1" t="str">
        <f>Numbers!MG1</f>
        <v>defPlatform</v>
      </c>
      <c r="AO1" t="str">
        <f>Numbers!DN1</f>
        <v>crystaliteSilo</v>
      </c>
      <c r="AT1" t="str">
        <f>Numbers!EE1</f>
        <v>crystaliteFarm</v>
      </c>
      <c r="AY1" t="str">
        <f>Numbers!EY1</f>
        <v>adamantiteStorage</v>
      </c>
      <c r="BD1" t="str">
        <f>Numbers!FP1</f>
        <v>adamantiteMine</v>
      </c>
      <c r="BI1" t="str">
        <f>Numbers!GJ1</f>
        <v>titaniumStorage</v>
      </c>
      <c r="BN1" t="str">
        <f>Numbers!HA1</f>
        <v>titaniumLab</v>
      </c>
      <c r="BS1" t="str">
        <f>Numbers!HU1</f>
        <v>craftPad</v>
      </c>
      <c r="BZ1" t="str">
        <f>Numbers!IK1</f>
        <v>laboratory</v>
      </c>
      <c r="CE1" t="str">
        <f>Numbers!JJ1</f>
        <v>vault</v>
      </c>
      <c r="CJ1" t="str">
        <f>Numbers!MV1</f>
        <v>bots</v>
      </c>
      <c r="CO1" t="str">
        <f>Numbers!NK1</f>
        <v>electronic</v>
      </c>
      <c r="CT1" t="str">
        <f>Numbers!OB1</f>
        <v>radar</v>
      </c>
      <c r="CY1" t="str">
        <f>Numbers!OQ1</f>
        <v>garbage</v>
      </c>
      <c r="DD1" t="str">
        <f>Numbers!PV1</f>
        <v>flagman</v>
      </c>
    </row>
    <row r="2" spans="1:116">
      <c r="A2" t="str">
        <f>Numbers!A2</f>
        <v>Level</v>
      </c>
      <c r="B2" t="str">
        <f>Numbers!B2</f>
        <v>Has</v>
      </c>
      <c r="C2" t="s">
        <v>114</v>
      </c>
      <c r="D2" t="s">
        <v>451</v>
      </c>
      <c r="F2" t="str">
        <f>Numbers!KN2</f>
        <v>Level</v>
      </c>
      <c r="G2" t="str">
        <f>Numbers!KO2</f>
        <v>Has</v>
      </c>
      <c r="H2" t="str">
        <f>Numbers!BD2</f>
        <v>total</v>
      </c>
      <c r="I2" t="s">
        <v>449</v>
      </c>
      <c r="J2" t="s">
        <v>450</v>
      </c>
      <c r="K2" s="68" t="s">
        <v>114</v>
      </c>
      <c r="L2" t="s">
        <v>451</v>
      </c>
      <c r="M2" s="68" t="s">
        <v>114</v>
      </c>
      <c r="N2" t="s">
        <v>452</v>
      </c>
      <c r="P2" t="str">
        <f>Numbers!LC2</f>
        <v>Level</v>
      </c>
      <c r="Q2" t="str">
        <f>Numbers!LD2</f>
        <v>Has</v>
      </c>
      <c r="R2" t="str">
        <f>Numbers!BF2</f>
        <v>total</v>
      </c>
      <c r="S2" t="s">
        <v>449</v>
      </c>
      <c r="T2" t="s">
        <v>450</v>
      </c>
      <c r="U2" s="68" t="s">
        <v>114</v>
      </c>
      <c r="V2" t="s">
        <v>451</v>
      </c>
      <c r="W2" t="s">
        <v>114</v>
      </c>
      <c r="X2" t="s">
        <v>452</v>
      </c>
      <c r="Z2" t="str">
        <f>Numbers!LR2</f>
        <v>Level</v>
      </c>
      <c r="AA2" t="str">
        <f>Numbers!LS2</f>
        <v>Has</v>
      </c>
      <c r="AB2" t="s">
        <v>449</v>
      </c>
      <c r="AC2" t="str">
        <f>Numbers!BH2</f>
        <v>total</v>
      </c>
      <c r="AD2" t="s">
        <v>450</v>
      </c>
      <c r="AE2" s="68" t="s">
        <v>114</v>
      </c>
      <c r="AF2" t="s">
        <v>451</v>
      </c>
      <c r="AG2" s="68" t="s">
        <v>114</v>
      </c>
      <c r="AH2" t="s">
        <v>453</v>
      </c>
      <c r="AJ2" t="str">
        <f>Numbers!MG2</f>
        <v>Level</v>
      </c>
      <c r="AK2" t="str">
        <f>Numbers!MH2</f>
        <v>Has</v>
      </c>
      <c r="AL2" t="s">
        <v>114</v>
      </c>
      <c r="AM2" t="s">
        <v>451</v>
      </c>
      <c r="AO2" t="str">
        <f>Numbers!DN2</f>
        <v>Level</v>
      </c>
      <c r="AP2" t="str">
        <f>Numbers!DO2</f>
        <v>Has</v>
      </c>
      <c r="AQ2" t="s">
        <v>114</v>
      </c>
      <c r="AR2" t="s">
        <v>451</v>
      </c>
      <c r="AT2" t="str">
        <f>Numbers!EE2</f>
        <v>Level</v>
      </c>
      <c r="AU2" t="str">
        <f>Numbers!EF2</f>
        <v>Has</v>
      </c>
      <c r="AV2" t="s">
        <v>114</v>
      </c>
      <c r="AW2" t="s">
        <v>451</v>
      </c>
      <c r="AY2" t="str">
        <f>Numbers!EY2</f>
        <v>Level</v>
      </c>
      <c r="AZ2" t="str">
        <f>Numbers!EZ2</f>
        <v>Has</v>
      </c>
      <c r="BA2" t="s">
        <v>114</v>
      </c>
      <c r="BB2" t="s">
        <v>451</v>
      </c>
      <c r="BD2" t="str">
        <f>Numbers!FP2</f>
        <v>Level</v>
      </c>
      <c r="BE2" t="str">
        <f>Numbers!FQ2</f>
        <v>Has</v>
      </c>
      <c r="BF2" t="s">
        <v>114</v>
      </c>
      <c r="BG2" t="s">
        <v>451</v>
      </c>
      <c r="BI2" t="str">
        <f>Numbers!GJ2</f>
        <v>Level</v>
      </c>
      <c r="BJ2" t="str">
        <f>Numbers!GK2</f>
        <v>Has</v>
      </c>
      <c r="BK2" t="s">
        <v>114</v>
      </c>
      <c r="BL2" t="s">
        <v>451</v>
      </c>
      <c r="BN2" t="str">
        <f>Numbers!HA2</f>
        <v>Level</v>
      </c>
      <c r="BO2" t="str">
        <f>Numbers!HB2</f>
        <v>Has</v>
      </c>
      <c r="BP2" t="s">
        <v>114</v>
      </c>
      <c r="BQ2" t="s">
        <v>451</v>
      </c>
      <c r="BS2" t="str">
        <f>Numbers!HU2</f>
        <v>Level</v>
      </c>
      <c r="BT2" t="str">
        <f>Numbers!HV2</f>
        <v>Has</v>
      </c>
      <c r="BU2" t="s">
        <v>114</v>
      </c>
      <c r="BV2" t="s">
        <v>451</v>
      </c>
      <c r="BW2" t="s">
        <v>114</v>
      </c>
      <c r="BX2" t="s">
        <v>510</v>
      </c>
      <c r="BZ2" t="str">
        <f>Numbers!IK2</f>
        <v>Level</v>
      </c>
      <c r="CA2" t="str">
        <f>Numbers!IL2</f>
        <v>Has</v>
      </c>
      <c r="CB2" t="s">
        <v>114</v>
      </c>
      <c r="CC2" t="s">
        <v>451</v>
      </c>
      <c r="CE2" t="str">
        <f>Numbers!JJ2</f>
        <v>Level</v>
      </c>
      <c r="CF2" t="str">
        <f>Numbers!JK2</f>
        <v>Has</v>
      </c>
      <c r="CG2" t="s">
        <v>114</v>
      </c>
      <c r="CH2" t="s">
        <v>451</v>
      </c>
      <c r="CJ2" t="str">
        <f>Numbers!MV2</f>
        <v>Level</v>
      </c>
      <c r="CK2" t="str">
        <f>Numbers!MW2</f>
        <v>Has</v>
      </c>
      <c r="CL2" t="s">
        <v>114</v>
      </c>
      <c r="CM2" t="s">
        <v>451</v>
      </c>
      <c r="CO2" t="str">
        <f>Numbers!NK2</f>
        <v>Level</v>
      </c>
      <c r="CP2" t="str">
        <f>Numbers!NL2</f>
        <v>Has</v>
      </c>
      <c r="CQ2" t="s">
        <v>114</v>
      </c>
      <c r="CR2" t="s">
        <v>451</v>
      </c>
      <c r="CT2" t="str">
        <f>Numbers!OB2</f>
        <v>Level</v>
      </c>
      <c r="CU2" t="str">
        <f>Numbers!OC2</f>
        <v>Has</v>
      </c>
      <c r="CV2" t="s">
        <v>114</v>
      </c>
      <c r="CW2" t="s">
        <v>451</v>
      </c>
      <c r="CY2" t="str">
        <f>Numbers!OQ2</f>
        <v>Level</v>
      </c>
      <c r="CZ2" t="str">
        <f>Numbers!OR2</f>
        <v>Has</v>
      </c>
      <c r="DA2" t="s">
        <v>114</v>
      </c>
      <c r="DB2" t="s">
        <v>451</v>
      </c>
      <c r="DD2" t="str">
        <f>Numbers!PV2</f>
        <v>Level</v>
      </c>
      <c r="DE2" t="str">
        <f>Numbers!PW2</f>
        <v>Has</v>
      </c>
      <c r="DF2" t="s">
        <v>114</v>
      </c>
      <c r="DG2" t="s">
        <v>451</v>
      </c>
      <c r="DH2" s="68" t="s">
        <v>114</v>
      </c>
      <c r="DI2" t="s">
        <v>456</v>
      </c>
      <c r="DJ2" t="s">
        <v>457</v>
      </c>
      <c r="DK2" t="s">
        <v>458</v>
      </c>
      <c r="DL2" t="s">
        <v>463</v>
      </c>
    </row>
    <row r="3" spans="1:116">
      <c r="A3">
        <f>Numbers!A3</f>
        <v>1</v>
      </c>
      <c r="B3">
        <f>Numbers!B3</f>
        <v>1</v>
      </c>
      <c r="C3">
        <v>2</v>
      </c>
      <c r="D3">
        <f>IF(B3,baseBetterNumbers(C3*L3),0)</f>
        <v>2000</v>
      </c>
      <c r="F3">
        <f>Numbers!KN3</f>
        <v>1</v>
      </c>
      <c r="G3">
        <f>Numbers!KO3</f>
        <v>1</v>
      </c>
      <c r="H3">
        <f>Numbers!BD3</f>
        <v>1</v>
      </c>
      <c r="I3">
        <v>12</v>
      </c>
      <c r="J3">
        <v>0.7</v>
      </c>
      <c r="K3">
        <v>1.1000000000000001</v>
      </c>
      <c r="L3">
        <v>1000</v>
      </c>
      <c r="M3">
        <v>1.1000000000000001</v>
      </c>
      <c r="N3">
        <v>50</v>
      </c>
      <c r="P3">
        <f>Numbers!LC3</f>
        <v>0</v>
      </c>
      <c r="Q3">
        <f>Numbers!LD3</f>
        <v>0</v>
      </c>
      <c r="R3">
        <f>Numbers!BF3</f>
        <v>0</v>
      </c>
      <c r="S3">
        <v>5</v>
      </c>
      <c r="T3">
        <v>10</v>
      </c>
      <c r="U3">
        <v>1.2</v>
      </c>
      <c r="V3">
        <f>IF(Q3,baseBetterNumbers(U3*L3),0)</f>
        <v>0</v>
      </c>
      <c r="W3">
        <v>0.2</v>
      </c>
      <c r="X3">
        <f>IF(Q3,baseBetterNumbers(W3*N3),0)</f>
        <v>0</v>
      </c>
      <c r="Z3">
        <f>Numbers!LR3</f>
        <v>0</v>
      </c>
      <c r="AA3">
        <f>Numbers!LS3</f>
        <v>0</v>
      </c>
      <c r="AB3">
        <v>10</v>
      </c>
      <c r="AC3">
        <f>Numbers!BH3</f>
        <v>0</v>
      </c>
      <c r="AD3">
        <v>0.4</v>
      </c>
      <c r="AE3">
        <v>2</v>
      </c>
      <c r="AF3">
        <f>IF(AA3,baseBetterNumbers(AE3*L3),0)</f>
        <v>0</v>
      </c>
      <c r="AG3">
        <v>4</v>
      </c>
      <c r="AH3">
        <f>IF(AA3,baseBetterNumbers(AG3*N3),0)</f>
        <v>0</v>
      </c>
      <c r="AJ3">
        <f>Numbers!MG3</f>
        <v>0</v>
      </c>
      <c r="AK3">
        <f>Numbers!MH3</f>
        <v>0</v>
      </c>
      <c r="AL3">
        <v>1</v>
      </c>
      <c r="AM3">
        <f>IF(AK3,baseBetterNumbers(AL3*L3),0)</f>
        <v>0</v>
      </c>
      <c r="AO3">
        <f>Numbers!DN3</f>
        <v>1</v>
      </c>
      <c r="AP3">
        <f>Numbers!DO3</f>
        <v>1</v>
      </c>
      <c r="AQ3">
        <v>0.5</v>
      </c>
      <c r="AR3">
        <f>IF(AP3,baseBetterNumbers(AQ3*L3),0)</f>
        <v>500</v>
      </c>
      <c r="AT3">
        <f>Numbers!EE3</f>
        <v>1</v>
      </c>
      <c r="AU3">
        <f>Numbers!EF3</f>
        <v>1</v>
      </c>
      <c r="AV3">
        <v>0.5</v>
      </c>
      <c r="AW3">
        <f>IF(AU3,baseBetterNumbers(AV3*L3),0)</f>
        <v>500</v>
      </c>
      <c r="AY3">
        <f>Numbers!EY3</f>
        <v>1</v>
      </c>
      <c r="AZ3">
        <f>Numbers!EZ3</f>
        <v>1</v>
      </c>
      <c r="BA3">
        <v>0.5</v>
      </c>
      <c r="BB3">
        <f>IF(AZ3,baseBetterNumbers(BA3*L3),0)</f>
        <v>500</v>
      </c>
      <c r="BD3">
        <f>Numbers!FP3</f>
        <v>1</v>
      </c>
      <c r="BE3">
        <f>Numbers!FQ3</f>
        <v>1</v>
      </c>
      <c r="BF3">
        <v>0.5</v>
      </c>
      <c r="BG3">
        <f>IF(BE3,baseBetterNumbers(BF3*L3),0)</f>
        <v>500</v>
      </c>
      <c r="BI3">
        <f>Numbers!GJ3</f>
        <v>0</v>
      </c>
      <c r="BJ3">
        <f>Numbers!GK3</f>
        <v>0</v>
      </c>
      <c r="BK3">
        <v>0.5</v>
      </c>
      <c r="BL3">
        <f>IF(BJ3,baseBetterNumbers(BK3*L3),0)</f>
        <v>0</v>
      </c>
      <c r="BN3">
        <f>Numbers!HA3</f>
        <v>0</v>
      </c>
      <c r="BO3">
        <f>Numbers!HB3</f>
        <v>0</v>
      </c>
      <c r="BP3">
        <v>0.5</v>
      </c>
      <c r="BQ3">
        <f>IF(BO3,baseBetterNumbers(BP3*L3),0)</f>
        <v>0</v>
      </c>
      <c r="BS3">
        <f>Numbers!HU3</f>
        <v>1</v>
      </c>
      <c r="BT3">
        <f>Numbers!HV3</f>
        <v>1</v>
      </c>
      <c r="BU3">
        <v>0.5</v>
      </c>
      <c r="BV3">
        <f>IF(BT3,baseBetterNumbers(BU3*L3),0)</f>
        <v>500</v>
      </c>
      <c r="BW3">
        <v>3</v>
      </c>
      <c r="BX3">
        <v>6</v>
      </c>
      <c r="BZ3">
        <f>Numbers!IK3</f>
        <v>0</v>
      </c>
      <c r="CA3">
        <f>Numbers!IL3</f>
        <v>0</v>
      </c>
      <c r="CB3">
        <v>0.5</v>
      </c>
      <c r="CC3">
        <f>IF(CA3,baseBetterNumbers(CB3*L3),0)</f>
        <v>0</v>
      </c>
      <c r="CE3">
        <f>Numbers!JJ3</f>
        <v>0</v>
      </c>
      <c r="CF3">
        <f>Numbers!JK3</f>
        <v>0</v>
      </c>
      <c r="CG3">
        <v>0.5</v>
      </c>
      <c r="CH3">
        <f>IF(CF3,baseBetterNumbers(CG3*L3),0)</f>
        <v>0</v>
      </c>
      <c r="CJ3">
        <f>Numbers!MV3</f>
        <v>0</v>
      </c>
      <c r="CK3">
        <f>Numbers!MW3</f>
        <v>0</v>
      </c>
      <c r="CL3">
        <v>0.5</v>
      </c>
      <c r="CM3">
        <f>IF(CK3,baseBetterNumbers(CL3*L3),0)</f>
        <v>0</v>
      </c>
      <c r="CO3">
        <f>Numbers!NK3</f>
        <v>0</v>
      </c>
      <c r="CP3">
        <f>Numbers!NL3</f>
        <v>0</v>
      </c>
      <c r="CQ3">
        <v>0.5</v>
      </c>
      <c r="CR3">
        <f>IF(CP3,baseBetterNumbers(CQ3*L3),0)</f>
        <v>0</v>
      </c>
      <c r="CT3">
        <f>Numbers!OB3</f>
        <v>0</v>
      </c>
      <c r="CU3">
        <f>Numbers!OC3</f>
        <v>0</v>
      </c>
      <c r="CV3">
        <v>0.5</v>
      </c>
      <c r="CW3">
        <f>IF(CU3,baseBetterNumbers(CV3*L3),0)</f>
        <v>0</v>
      </c>
      <c r="CY3">
        <f>Numbers!OQ3</f>
        <v>0</v>
      </c>
      <c r="CZ3">
        <f>Numbers!OR3</f>
        <v>0</v>
      </c>
      <c r="DA3">
        <v>0.5</v>
      </c>
      <c r="DB3">
        <f>IF(CZ3,baseBetterNumbers(DA3*L3),0)</f>
        <v>0</v>
      </c>
      <c r="DD3">
        <f>Numbers!PV3</f>
        <v>0</v>
      </c>
      <c r="DE3">
        <f>Numbers!PW3</f>
        <v>0</v>
      </c>
      <c r="DF3">
        <v>0.5</v>
      </c>
      <c r="DG3">
        <f>IF(DE3,baseBetterNumbers(DF3*L3),0)</f>
        <v>0</v>
      </c>
    </row>
    <row r="4" spans="1:116">
      <c r="A4">
        <f>Numbers!A4</f>
        <v>2</v>
      </c>
      <c r="B4">
        <f>Numbers!B4</f>
        <v>1</v>
      </c>
      <c r="C4">
        <f>C3</f>
        <v>2</v>
      </c>
      <c r="D4">
        <f>IF(B4,baseBetterNumbers(C4*L4),D3)</f>
        <v>2200</v>
      </c>
      <c r="F4">
        <f>Numbers!KN4</f>
        <v>2</v>
      </c>
      <c r="G4">
        <f>Numbers!KO4</f>
        <v>1</v>
      </c>
      <c r="H4">
        <f>Numbers!BD4</f>
        <v>2</v>
      </c>
      <c r="I4">
        <f>I3</f>
        <v>12</v>
      </c>
      <c r="J4">
        <f>J3</f>
        <v>0.7</v>
      </c>
      <c r="K4">
        <f>K3</f>
        <v>1.1000000000000001</v>
      </c>
      <c r="L4">
        <f>IF(G4,baseBetterNumbers(L3*K4),L3)</f>
        <v>1100</v>
      </c>
      <c r="M4">
        <f>M3</f>
        <v>1.1000000000000001</v>
      </c>
      <c r="N4">
        <f>IF(G4,baseBetterNumbers(N3*M4),N3)</f>
        <v>55</v>
      </c>
      <c r="P4">
        <f>Numbers!LC4</f>
        <v>0</v>
      </c>
      <c r="Q4">
        <f>Numbers!LD4</f>
        <v>0</v>
      </c>
      <c r="R4">
        <f>Numbers!BF4</f>
        <v>0</v>
      </c>
      <c r="S4">
        <f>S3</f>
        <v>5</v>
      </c>
      <c r="T4">
        <f>T3</f>
        <v>10</v>
      </c>
      <c r="U4">
        <f>U3</f>
        <v>1.2</v>
      </c>
      <c r="V4">
        <f>IF(Q4,baseBetterNumbers(U4*L4),V3)</f>
        <v>0</v>
      </c>
      <c r="W4">
        <f>W3</f>
        <v>0.2</v>
      </c>
      <c r="X4">
        <f>IF(Q4,baseBetterNumbers(W4*N4),X3)</f>
        <v>0</v>
      </c>
      <c r="Z4">
        <f>Numbers!LR4</f>
        <v>0</v>
      </c>
      <c r="AA4">
        <f>Numbers!LS4</f>
        <v>0</v>
      </c>
      <c r="AB4">
        <f>AB3</f>
        <v>10</v>
      </c>
      <c r="AC4">
        <f>Numbers!BH4</f>
        <v>0</v>
      </c>
      <c r="AD4">
        <f>AD3</f>
        <v>0.4</v>
      </c>
      <c r="AE4">
        <f>AE3</f>
        <v>2</v>
      </c>
      <c r="AF4">
        <f>IF(AA4,baseBetterNumbers(AE4*L4),AF3)</f>
        <v>0</v>
      </c>
      <c r="AG4">
        <f>AG3</f>
        <v>4</v>
      </c>
      <c r="AH4">
        <f>IF(AA4,baseBetterNumbers(AG4*N4),AH3)</f>
        <v>0</v>
      </c>
      <c r="AJ4">
        <f>Numbers!MG4</f>
        <v>0</v>
      </c>
      <c r="AK4">
        <f>Numbers!MH4</f>
        <v>0</v>
      </c>
      <c r="AL4">
        <f>AL3</f>
        <v>1</v>
      </c>
      <c r="AM4">
        <f>IF(AK4,baseBetterNumbers(AL4*L4),AM3)</f>
        <v>0</v>
      </c>
      <c r="AO4">
        <f>Numbers!DN4</f>
        <v>2</v>
      </c>
      <c r="AP4">
        <f>Numbers!DO4</f>
        <v>1</v>
      </c>
      <c r="AQ4">
        <f>AQ3</f>
        <v>0.5</v>
      </c>
      <c r="AR4">
        <f>IF(AP4,baseBetterNumbers(AQ4*L4),AR3)</f>
        <v>550</v>
      </c>
      <c r="AT4">
        <f>Numbers!EE4</f>
        <v>2</v>
      </c>
      <c r="AU4">
        <f>Numbers!EF4</f>
        <v>1</v>
      </c>
      <c r="AV4">
        <f>AV3</f>
        <v>0.5</v>
      </c>
      <c r="AW4">
        <f>IF(AU4,baseBetterNumbers(AV4*L4),AW3)</f>
        <v>550</v>
      </c>
      <c r="AY4">
        <f>Numbers!EY4</f>
        <v>2</v>
      </c>
      <c r="AZ4">
        <f>Numbers!EZ4</f>
        <v>1</v>
      </c>
      <c r="BA4">
        <f>BA3</f>
        <v>0.5</v>
      </c>
      <c r="BB4">
        <f>IF(AZ4,baseBetterNumbers(BA4*L4),BB3)</f>
        <v>550</v>
      </c>
      <c r="BD4">
        <f>Numbers!FP4</f>
        <v>2</v>
      </c>
      <c r="BE4">
        <f>Numbers!FQ4</f>
        <v>1</v>
      </c>
      <c r="BF4">
        <f>BF3</f>
        <v>0.5</v>
      </c>
      <c r="BG4">
        <f>IF(BE4,baseBetterNumbers(BF4*L4),BG3)</f>
        <v>550</v>
      </c>
      <c r="BI4">
        <f>Numbers!GJ4</f>
        <v>0</v>
      </c>
      <c r="BJ4">
        <f>Numbers!GK4</f>
        <v>0</v>
      </c>
      <c r="BK4">
        <f>BK3</f>
        <v>0.5</v>
      </c>
      <c r="BL4">
        <f>IF(BJ4,baseBetterNumbers(BK4*L4),BL3)</f>
        <v>0</v>
      </c>
      <c r="BN4">
        <f>Numbers!HA4</f>
        <v>0</v>
      </c>
      <c r="BO4">
        <f>Numbers!HB4</f>
        <v>0</v>
      </c>
      <c r="BP4">
        <f>BP3</f>
        <v>0.5</v>
      </c>
      <c r="BQ4">
        <f>IF(BO4,baseBetterNumbers(BP4*L4),BQ3)</f>
        <v>0</v>
      </c>
      <c r="BS4">
        <f>Numbers!HU4</f>
        <v>2</v>
      </c>
      <c r="BT4">
        <f>Numbers!HV4</f>
        <v>1</v>
      </c>
      <c r="BU4">
        <f>BU3</f>
        <v>0.5</v>
      </c>
      <c r="BV4">
        <f>IF(BT4,baseBetterNumbers(BU4*L4),BV3)</f>
        <v>550</v>
      </c>
      <c r="BW4">
        <f>BW3</f>
        <v>3</v>
      </c>
      <c r="BX4">
        <f>BX3+BW4</f>
        <v>9</v>
      </c>
      <c r="BZ4">
        <f>Numbers!IK4</f>
        <v>0</v>
      </c>
      <c r="CA4">
        <f>Numbers!IL4</f>
        <v>0</v>
      </c>
      <c r="CB4">
        <f>CB3</f>
        <v>0.5</v>
      </c>
      <c r="CC4">
        <f>IF(CA4,baseBetterNumbers(CB4*L4),CC3)</f>
        <v>0</v>
      </c>
      <c r="CE4">
        <f>Numbers!JJ4</f>
        <v>0</v>
      </c>
      <c r="CF4">
        <f>Numbers!JK4</f>
        <v>0</v>
      </c>
      <c r="CG4">
        <f>CG3</f>
        <v>0.5</v>
      </c>
      <c r="CH4">
        <f>IF(CF4,baseBetterNumbers(CG4*L4),CH3)</f>
        <v>0</v>
      </c>
      <c r="CJ4">
        <f>Numbers!MV4</f>
        <v>0</v>
      </c>
      <c r="CK4">
        <f>Numbers!MW4</f>
        <v>0</v>
      </c>
      <c r="CL4">
        <f>CL3</f>
        <v>0.5</v>
      </c>
      <c r="CM4">
        <f>IF(CK4,baseBetterNumbers(CL4*L4),CM3)</f>
        <v>0</v>
      </c>
      <c r="CO4">
        <f>Numbers!NK4</f>
        <v>1</v>
      </c>
      <c r="CP4">
        <f>Numbers!NL4</f>
        <v>1</v>
      </c>
      <c r="CQ4">
        <f>CQ3</f>
        <v>0.5</v>
      </c>
      <c r="CR4">
        <f>IF(CP4,baseBetterNumbers(CQ4*L4),CR3)</f>
        <v>550</v>
      </c>
      <c r="CT4">
        <f>Numbers!OB4</f>
        <v>0</v>
      </c>
      <c r="CU4">
        <f>Numbers!OC4</f>
        <v>0</v>
      </c>
      <c r="CV4">
        <f>CV3</f>
        <v>0.5</v>
      </c>
      <c r="CW4">
        <f>IF(CU4,baseBetterNumbers(CV4*L4),CW3)</f>
        <v>0</v>
      </c>
      <c r="CY4">
        <f>Numbers!OQ4</f>
        <v>0</v>
      </c>
      <c r="CZ4">
        <f>Numbers!OR4</f>
        <v>0</v>
      </c>
      <c r="DA4">
        <f>DA3</f>
        <v>0.5</v>
      </c>
      <c r="DB4">
        <f>IF(CZ4,baseBetterNumbers(DA4*L4),DB3)</f>
        <v>0</v>
      </c>
      <c r="DD4">
        <f>Numbers!PV4</f>
        <v>0</v>
      </c>
      <c r="DE4">
        <f>Numbers!PW4</f>
        <v>0</v>
      </c>
      <c r="DF4">
        <f>DF3</f>
        <v>0.5</v>
      </c>
      <c r="DG4">
        <f>IF(DE4,baseBetterNumbers(DF4*L4),DG3)</f>
        <v>0</v>
      </c>
    </row>
    <row r="5" spans="1:116">
      <c r="A5">
        <f>Numbers!A5</f>
        <v>3</v>
      </c>
      <c r="B5">
        <f>Numbers!B5</f>
        <v>1</v>
      </c>
      <c r="C5">
        <f t="shared" ref="C5:C17" si="0">C4</f>
        <v>2</v>
      </c>
      <c r="D5">
        <f>IF(B5,baseBetterNumbers(C5*L5),D4)</f>
        <v>2420</v>
      </c>
      <c r="F5">
        <f>Numbers!KN5</f>
        <v>3</v>
      </c>
      <c r="G5">
        <f>Numbers!KO5</f>
        <v>1</v>
      </c>
      <c r="H5">
        <f>Numbers!BD5</f>
        <v>2</v>
      </c>
      <c r="I5">
        <f t="shared" ref="I5:I17" si="1">I4</f>
        <v>12</v>
      </c>
      <c r="J5">
        <f t="shared" ref="J5:J17" si="2">J4</f>
        <v>0.7</v>
      </c>
      <c r="K5">
        <f t="shared" ref="K5:K17" si="3">K4</f>
        <v>1.1000000000000001</v>
      </c>
      <c r="L5">
        <f>IF(G5,baseBetterNumbers(L4*K5),L4)</f>
        <v>1210</v>
      </c>
      <c r="M5">
        <f t="shared" ref="M5:M17" si="4">M4</f>
        <v>1.1000000000000001</v>
      </c>
      <c r="N5">
        <f>IF(G5,baseBetterNumbers(N4*M5),N4)</f>
        <v>61</v>
      </c>
      <c r="P5">
        <f>Numbers!LC5</f>
        <v>0</v>
      </c>
      <c r="Q5">
        <f>Numbers!LD5</f>
        <v>0</v>
      </c>
      <c r="R5">
        <f>Numbers!BF5</f>
        <v>0</v>
      </c>
      <c r="S5">
        <f t="shared" ref="S5:S17" si="5">S4</f>
        <v>5</v>
      </c>
      <c r="T5">
        <f t="shared" ref="T5:T17" si="6">T4</f>
        <v>10</v>
      </c>
      <c r="U5">
        <f t="shared" ref="U5:U17" si="7">U4</f>
        <v>1.2</v>
      </c>
      <c r="V5">
        <f>IF(Q5,baseBetterNumbers(U5*L5),V4)</f>
        <v>0</v>
      </c>
      <c r="W5">
        <f t="shared" ref="W5:W17" si="8">W4</f>
        <v>0.2</v>
      </c>
      <c r="X5">
        <f>IF(Q5,baseBetterNumbers(W5*N5),X4)</f>
        <v>0</v>
      </c>
      <c r="Z5">
        <f>Numbers!LR5</f>
        <v>0</v>
      </c>
      <c r="AA5">
        <f>Numbers!LS5</f>
        <v>0</v>
      </c>
      <c r="AB5">
        <f t="shared" ref="AB5:AB17" si="9">AB4</f>
        <v>10</v>
      </c>
      <c r="AC5">
        <f>Numbers!BH5</f>
        <v>0</v>
      </c>
      <c r="AD5">
        <f t="shared" ref="AD5:AD17" si="10">AD4</f>
        <v>0.4</v>
      </c>
      <c r="AE5">
        <f t="shared" ref="AE5:AE17" si="11">AE4</f>
        <v>2</v>
      </c>
      <c r="AF5">
        <f>IF(AA5,baseBetterNumbers(AE5*L5),AF4)</f>
        <v>0</v>
      </c>
      <c r="AG5">
        <f t="shared" ref="AG5:AG17" si="12">AG4</f>
        <v>4</v>
      </c>
      <c r="AH5">
        <f>IF(AA5,baseBetterNumbers(AG5*N5),AH4)</f>
        <v>0</v>
      </c>
      <c r="AJ5">
        <f>Numbers!MG5</f>
        <v>0</v>
      </c>
      <c r="AK5">
        <f>Numbers!MH5</f>
        <v>0</v>
      </c>
      <c r="AL5">
        <f t="shared" ref="AL5:AL17" si="13">AL4</f>
        <v>1</v>
      </c>
      <c r="AM5">
        <f>IF(AK5,baseBetterNumbers(AL5*L5),AM4)</f>
        <v>0</v>
      </c>
      <c r="AO5">
        <f>Numbers!DN5</f>
        <v>3</v>
      </c>
      <c r="AP5">
        <f>Numbers!DO5</f>
        <v>1</v>
      </c>
      <c r="AQ5">
        <f t="shared" ref="AQ5:AQ17" si="14">AQ4</f>
        <v>0.5</v>
      </c>
      <c r="AR5">
        <f>IF(AP5,baseBetterNumbers(AQ5*L5),AR4)</f>
        <v>605</v>
      </c>
      <c r="AT5">
        <f>Numbers!EE5</f>
        <v>3</v>
      </c>
      <c r="AU5">
        <f>Numbers!EF5</f>
        <v>1</v>
      </c>
      <c r="AV5">
        <f t="shared" ref="AV5:AV17" si="15">AV4</f>
        <v>0.5</v>
      </c>
      <c r="AW5">
        <f>IF(AU5,baseBetterNumbers(AV5*L5),AW4)</f>
        <v>605</v>
      </c>
      <c r="AY5">
        <f>Numbers!EY5</f>
        <v>3</v>
      </c>
      <c r="AZ5">
        <f>Numbers!EZ5</f>
        <v>1</v>
      </c>
      <c r="BA5">
        <f t="shared" ref="BA5:BA17" si="16">BA4</f>
        <v>0.5</v>
      </c>
      <c r="BB5">
        <f>IF(AZ5,baseBetterNumbers(BA5*L5),BB4)</f>
        <v>605</v>
      </c>
      <c r="BD5">
        <f>Numbers!FP5</f>
        <v>3</v>
      </c>
      <c r="BE5">
        <f>Numbers!FQ5</f>
        <v>1</v>
      </c>
      <c r="BF5">
        <f t="shared" ref="BF5:BF17" si="17">BF4</f>
        <v>0.5</v>
      </c>
      <c r="BG5">
        <f>IF(BE5,baseBetterNumbers(BF5*L5),BG4)</f>
        <v>605</v>
      </c>
      <c r="BI5">
        <f>Numbers!GJ5</f>
        <v>0</v>
      </c>
      <c r="BJ5">
        <f>Numbers!GK5</f>
        <v>0</v>
      </c>
      <c r="BK5">
        <f t="shared" ref="BK5:BK17" si="18">BK4</f>
        <v>0.5</v>
      </c>
      <c r="BL5">
        <f>IF(BJ5,baseBetterNumbers(BK5*L5),BL4)</f>
        <v>0</v>
      </c>
      <c r="BN5">
        <f>Numbers!HA5</f>
        <v>0</v>
      </c>
      <c r="BO5">
        <f>Numbers!HB5</f>
        <v>0</v>
      </c>
      <c r="BP5">
        <f t="shared" ref="BP5:BP17" si="19">BP4</f>
        <v>0.5</v>
      </c>
      <c r="BQ5">
        <f>IF(BO5,baseBetterNumbers(BP5*L5),BQ4)</f>
        <v>0</v>
      </c>
      <c r="BS5">
        <f>Numbers!HU5</f>
        <v>3</v>
      </c>
      <c r="BT5">
        <f>Numbers!HV5</f>
        <v>1</v>
      </c>
      <c r="BU5">
        <f t="shared" ref="BU5:BU17" si="20">BU4</f>
        <v>0.5</v>
      </c>
      <c r="BV5">
        <f>IF(BT5,baseBetterNumbers(BU5*L5),BV4)</f>
        <v>605</v>
      </c>
      <c r="BW5">
        <f t="shared" ref="BW5:BW17" si="21">BW4</f>
        <v>3</v>
      </c>
      <c r="BX5">
        <f t="shared" ref="BX5:BX17" si="22">BX4+BW5</f>
        <v>12</v>
      </c>
      <c r="BZ5">
        <f>Numbers!IK5</f>
        <v>0</v>
      </c>
      <c r="CA5">
        <f>Numbers!IL5</f>
        <v>0</v>
      </c>
      <c r="CB5">
        <f t="shared" ref="CB5:CB17" si="23">CB4</f>
        <v>0.5</v>
      </c>
      <c r="CC5">
        <f>IF(CA5,baseBetterNumbers(CB5*L5),CC4)</f>
        <v>0</v>
      </c>
      <c r="CE5">
        <f>Numbers!JJ5</f>
        <v>0</v>
      </c>
      <c r="CF5">
        <f>Numbers!JK5</f>
        <v>0</v>
      </c>
      <c r="CG5">
        <f t="shared" ref="CG5:CG17" si="24">CG4</f>
        <v>0.5</v>
      </c>
      <c r="CH5">
        <f>IF(CF5,baseBetterNumbers(CG5*L5),CH4)</f>
        <v>0</v>
      </c>
      <c r="CJ5">
        <f>Numbers!MV5</f>
        <v>1</v>
      </c>
      <c r="CK5">
        <f>Numbers!MW5</f>
        <v>1</v>
      </c>
      <c r="CL5">
        <f t="shared" ref="CL5:CL17" si="25">CL4</f>
        <v>0.5</v>
      </c>
      <c r="CM5">
        <f>IF(CK5,baseBetterNumbers(CL5*L5),CM4)</f>
        <v>605</v>
      </c>
      <c r="CO5">
        <f>Numbers!NK5</f>
        <v>2</v>
      </c>
      <c r="CP5">
        <f>Numbers!NL5</f>
        <v>1</v>
      </c>
      <c r="CQ5">
        <f t="shared" ref="CQ5:CQ17" si="26">CQ4</f>
        <v>0.5</v>
      </c>
      <c r="CR5">
        <f>IF(CP5,baseBetterNumbers(CQ5*L5),CR4)</f>
        <v>605</v>
      </c>
      <c r="CT5">
        <f>Numbers!OB5</f>
        <v>0</v>
      </c>
      <c r="CU5">
        <f>Numbers!OC5</f>
        <v>0</v>
      </c>
      <c r="CV5">
        <f t="shared" ref="CV5:CV17" si="27">CV4</f>
        <v>0.5</v>
      </c>
      <c r="CW5">
        <f>IF(CU5,baseBetterNumbers(CV5*L5),CW4)</f>
        <v>0</v>
      </c>
      <c r="CY5">
        <f>Numbers!OQ5</f>
        <v>0</v>
      </c>
      <c r="CZ5">
        <f>Numbers!OR5</f>
        <v>0</v>
      </c>
      <c r="DA5">
        <f t="shared" ref="DA5:DA17" si="28">DA4</f>
        <v>0.5</v>
      </c>
      <c r="DB5">
        <f>IF(CZ5,baseBetterNumbers(DA5*L5),DB4)</f>
        <v>0</v>
      </c>
      <c r="DD5">
        <f>Numbers!PV5</f>
        <v>0</v>
      </c>
      <c r="DE5">
        <f>Numbers!PW5</f>
        <v>0</v>
      </c>
      <c r="DF5">
        <f t="shared" ref="DF5:DF17" si="29">DF4</f>
        <v>0.5</v>
      </c>
      <c r="DG5">
        <f>IF(DE5,baseBetterNumbers(DF5*L5),DG4)</f>
        <v>0</v>
      </c>
    </row>
    <row r="6" spans="1:116">
      <c r="A6">
        <f>Numbers!A6</f>
        <v>4</v>
      </c>
      <c r="B6">
        <f>Numbers!B6</f>
        <v>1</v>
      </c>
      <c r="C6">
        <f t="shared" si="0"/>
        <v>2</v>
      </c>
      <c r="D6">
        <f>IF(B6,baseBetterNumbers(C6*L6),D5)</f>
        <v>2660</v>
      </c>
      <c r="F6">
        <f>Numbers!KN6</f>
        <v>4</v>
      </c>
      <c r="G6">
        <f>Numbers!KO6</f>
        <v>1</v>
      </c>
      <c r="H6">
        <f>Numbers!BD6</f>
        <v>3</v>
      </c>
      <c r="I6">
        <f t="shared" si="1"/>
        <v>12</v>
      </c>
      <c r="J6">
        <f t="shared" si="2"/>
        <v>0.7</v>
      </c>
      <c r="K6">
        <f t="shared" si="3"/>
        <v>1.1000000000000001</v>
      </c>
      <c r="L6">
        <f>IF(G6,baseBetterNumbers(L5*K6),L5)</f>
        <v>1330</v>
      </c>
      <c r="M6">
        <f t="shared" si="4"/>
        <v>1.1000000000000001</v>
      </c>
      <c r="N6">
        <f>IF(G6,baseBetterNumbers(N5*M6),N5)</f>
        <v>67</v>
      </c>
      <c r="P6">
        <f>Numbers!LC6</f>
        <v>0</v>
      </c>
      <c r="Q6">
        <f>Numbers!LD6</f>
        <v>0</v>
      </c>
      <c r="R6">
        <f>Numbers!BF6</f>
        <v>0</v>
      </c>
      <c r="S6">
        <f t="shared" si="5"/>
        <v>5</v>
      </c>
      <c r="T6">
        <f t="shared" si="6"/>
        <v>10</v>
      </c>
      <c r="U6">
        <f t="shared" si="7"/>
        <v>1.2</v>
      </c>
      <c r="V6">
        <f>IF(Q6,baseBetterNumbers(U6*L6),V5)</f>
        <v>0</v>
      </c>
      <c r="W6">
        <f t="shared" si="8"/>
        <v>0.2</v>
      </c>
      <c r="X6">
        <f>IF(Q6,baseBetterNumbers(W6*N6),X5)</f>
        <v>0</v>
      </c>
      <c r="Z6">
        <f>Numbers!LR6</f>
        <v>0</v>
      </c>
      <c r="AA6">
        <f>Numbers!LS6</f>
        <v>0</v>
      </c>
      <c r="AB6">
        <f t="shared" si="9"/>
        <v>10</v>
      </c>
      <c r="AC6">
        <f>Numbers!BH6</f>
        <v>0</v>
      </c>
      <c r="AD6">
        <f t="shared" si="10"/>
        <v>0.4</v>
      </c>
      <c r="AE6">
        <f t="shared" si="11"/>
        <v>2</v>
      </c>
      <c r="AF6">
        <f>IF(AA6,baseBetterNumbers(AE6*L6),AF5)</f>
        <v>0</v>
      </c>
      <c r="AG6">
        <f t="shared" si="12"/>
        <v>4</v>
      </c>
      <c r="AH6">
        <f>IF(AA6,baseBetterNumbers(AG6*N6),AH5)</f>
        <v>0</v>
      </c>
      <c r="AJ6">
        <f>Numbers!MG6</f>
        <v>0</v>
      </c>
      <c r="AK6">
        <f>Numbers!MH6</f>
        <v>0</v>
      </c>
      <c r="AL6">
        <f t="shared" si="13"/>
        <v>1</v>
      </c>
      <c r="AM6">
        <f>IF(AK6,baseBetterNumbers(AL6*L6),AM5)</f>
        <v>0</v>
      </c>
      <c r="AO6">
        <f>Numbers!DN6</f>
        <v>4</v>
      </c>
      <c r="AP6">
        <f>Numbers!DO6</f>
        <v>1</v>
      </c>
      <c r="AQ6">
        <f t="shared" si="14"/>
        <v>0.5</v>
      </c>
      <c r="AR6">
        <f>IF(AP6,baseBetterNumbers(AQ6*L6),AR5)</f>
        <v>665</v>
      </c>
      <c r="AT6">
        <f>Numbers!EE6</f>
        <v>4</v>
      </c>
      <c r="AU6">
        <f>Numbers!EF6</f>
        <v>1</v>
      </c>
      <c r="AV6">
        <f t="shared" si="15"/>
        <v>0.5</v>
      </c>
      <c r="AW6">
        <f>IF(AU6,baseBetterNumbers(AV6*L6),AW5)</f>
        <v>665</v>
      </c>
      <c r="AY6">
        <f>Numbers!EY6</f>
        <v>4</v>
      </c>
      <c r="AZ6">
        <f>Numbers!EZ6</f>
        <v>1</v>
      </c>
      <c r="BA6">
        <f t="shared" si="16"/>
        <v>0.5</v>
      </c>
      <c r="BB6">
        <f>IF(AZ6,baseBetterNumbers(BA6*L6),BB5)</f>
        <v>665</v>
      </c>
      <c r="BD6">
        <f>Numbers!FP6</f>
        <v>4</v>
      </c>
      <c r="BE6">
        <f>Numbers!FQ6</f>
        <v>1</v>
      </c>
      <c r="BF6">
        <f t="shared" si="17"/>
        <v>0.5</v>
      </c>
      <c r="BG6">
        <f>IF(BE6,baseBetterNumbers(BF6*L6),BG5)</f>
        <v>665</v>
      </c>
      <c r="BI6">
        <f>Numbers!GJ6</f>
        <v>0</v>
      </c>
      <c r="BJ6">
        <f>Numbers!GK6</f>
        <v>0</v>
      </c>
      <c r="BK6">
        <f t="shared" si="18"/>
        <v>0.5</v>
      </c>
      <c r="BL6">
        <f>IF(BJ6,baseBetterNumbers(BK6*L6),BL5)</f>
        <v>0</v>
      </c>
      <c r="BN6">
        <f>Numbers!HA6</f>
        <v>0</v>
      </c>
      <c r="BO6">
        <f>Numbers!HB6</f>
        <v>0</v>
      </c>
      <c r="BP6">
        <f t="shared" si="19"/>
        <v>0.5</v>
      </c>
      <c r="BQ6">
        <f>IF(BO6,baseBetterNumbers(BP6*L6),BQ5)</f>
        <v>0</v>
      </c>
      <c r="BS6">
        <f>Numbers!HU6</f>
        <v>4</v>
      </c>
      <c r="BT6">
        <f>Numbers!HV6</f>
        <v>1</v>
      </c>
      <c r="BU6">
        <f t="shared" si="20"/>
        <v>0.5</v>
      </c>
      <c r="BV6">
        <f>IF(BT6,baseBetterNumbers(BU6*L6),BV5)</f>
        <v>665</v>
      </c>
      <c r="BW6">
        <f t="shared" si="21"/>
        <v>3</v>
      </c>
      <c r="BX6">
        <f t="shared" si="22"/>
        <v>15</v>
      </c>
      <c r="BZ6">
        <f>Numbers!IK6</f>
        <v>0</v>
      </c>
      <c r="CA6">
        <f>Numbers!IL6</f>
        <v>0</v>
      </c>
      <c r="CB6">
        <f t="shared" si="23"/>
        <v>0.5</v>
      </c>
      <c r="CC6">
        <f>IF(CA6,baseBetterNumbers(CB6*L6),CC5)</f>
        <v>0</v>
      </c>
      <c r="CE6">
        <f>Numbers!JJ6</f>
        <v>0</v>
      </c>
      <c r="CF6">
        <f>Numbers!JK6</f>
        <v>0</v>
      </c>
      <c r="CG6">
        <f t="shared" si="24"/>
        <v>0.5</v>
      </c>
      <c r="CH6">
        <f>IF(CF6,baseBetterNumbers(CG6*L6),CH5)</f>
        <v>0</v>
      </c>
      <c r="CJ6">
        <f>Numbers!MV6</f>
        <v>2</v>
      </c>
      <c r="CK6">
        <f>Numbers!MW6</f>
        <v>1</v>
      </c>
      <c r="CL6">
        <f t="shared" si="25"/>
        <v>0.5</v>
      </c>
      <c r="CM6">
        <f>IF(CK6,baseBetterNumbers(CL6*L6),CM5)</f>
        <v>665</v>
      </c>
      <c r="CO6">
        <f>Numbers!NK6</f>
        <v>3</v>
      </c>
      <c r="CP6">
        <f>Numbers!NL6</f>
        <v>1</v>
      </c>
      <c r="CQ6">
        <f t="shared" si="26"/>
        <v>0.5</v>
      </c>
      <c r="CR6">
        <f>IF(CP6,baseBetterNumbers(CQ6*L6),CR5)</f>
        <v>665</v>
      </c>
      <c r="CT6">
        <f>Numbers!OB6</f>
        <v>1</v>
      </c>
      <c r="CU6">
        <f>Numbers!OC6</f>
        <v>1</v>
      </c>
      <c r="CV6">
        <f t="shared" si="27"/>
        <v>0.5</v>
      </c>
      <c r="CW6">
        <f>IF(CU6,baseBetterNumbers(CV6*L6),CW5)</f>
        <v>665</v>
      </c>
      <c r="CY6">
        <f>Numbers!OQ6</f>
        <v>1</v>
      </c>
      <c r="CZ6">
        <f>Numbers!OR6</f>
        <v>1</v>
      </c>
      <c r="DA6">
        <f t="shared" si="28"/>
        <v>0.5</v>
      </c>
      <c r="DB6">
        <f>IF(CZ6,baseBetterNumbers(DA6*L6),DB5)</f>
        <v>665</v>
      </c>
      <c r="DD6">
        <f>Numbers!PV6</f>
        <v>0</v>
      </c>
      <c r="DE6">
        <f>Numbers!PW6</f>
        <v>0</v>
      </c>
      <c r="DF6">
        <f t="shared" si="29"/>
        <v>0.5</v>
      </c>
      <c r="DG6">
        <f>IF(DE6,baseBetterNumbers(DF6*L6),DG5)</f>
        <v>0</v>
      </c>
    </row>
    <row r="7" spans="1:116">
      <c r="A7">
        <f>Numbers!A7</f>
        <v>5</v>
      </c>
      <c r="B7">
        <f>Numbers!B7</f>
        <v>1</v>
      </c>
      <c r="C7">
        <f t="shared" si="0"/>
        <v>2</v>
      </c>
      <c r="D7">
        <f>IF(B7,baseBetterNumbers(C7*L7),D6)</f>
        <v>2920</v>
      </c>
      <c r="F7">
        <f>Numbers!KN7</f>
        <v>5</v>
      </c>
      <c r="G7">
        <f>Numbers!KO7</f>
        <v>1</v>
      </c>
      <c r="H7">
        <f>Numbers!BD7</f>
        <v>3</v>
      </c>
      <c r="I7">
        <f t="shared" si="1"/>
        <v>12</v>
      </c>
      <c r="J7">
        <f t="shared" si="2"/>
        <v>0.7</v>
      </c>
      <c r="K7">
        <f t="shared" si="3"/>
        <v>1.1000000000000001</v>
      </c>
      <c r="L7">
        <f>IF(G7,baseBetterNumbers(L6*K7),L6)</f>
        <v>1460</v>
      </c>
      <c r="M7">
        <f t="shared" si="4"/>
        <v>1.1000000000000001</v>
      </c>
      <c r="N7">
        <f>IF(G7,baseBetterNumbers(N6*M7),N6)</f>
        <v>74</v>
      </c>
      <c r="P7">
        <f>Numbers!LC7</f>
        <v>0</v>
      </c>
      <c r="Q7">
        <f>Numbers!LD7</f>
        <v>0</v>
      </c>
      <c r="R7">
        <f>Numbers!BF7</f>
        <v>0</v>
      </c>
      <c r="S7">
        <f t="shared" si="5"/>
        <v>5</v>
      </c>
      <c r="T7">
        <f t="shared" si="6"/>
        <v>10</v>
      </c>
      <c r="U7">
        <f t="shared" si="7"/>
        <v>1.2</v>
      </c>
      <c r="V7">
        <f>IF(Q7,baseBetterNumbers(U7*L7),V6)</f>
        <v>0</v>
      </c>
      <c r="W7">
        <f t="shared" si="8"/>
        <v>0.2</v>
      </c>
      <c r="X7">
        <f>IF(Q7,baseBetterNumbers(W7*N7),X6)</f>
        <v>0</v>
      </c>
      <c r="Z7">
        <f>Numbers!LR7</f>
        <v>0</v>
      </c>
      <c r="AA7">
        <f>Numbers!LS7</f>
        <v>0</v>
      </c>
      <c r="AB7">
        <f t="shared" si="9"/>
        <v>10</v>
      </c>
      <c r="AC7">
        <f>Numbers!BH7</f>
        <v>0</v>
      </c>
      <c r="AD7">
        <f t="shared" si="10"/>
        <v>0.4</v>
      </c>
      <c r="AE7">
        <f t="shared" si="11"/>
        <v>2</v>
      </c>
      <c r="AF7">
        <f>IF(AA7,baseBetterNumbers(AE7*L7),AF6)</f>
        <v>0</v>
      </c>
      <c r="AG7">
        <f t="shared" si="12"/>
        <v>4</v>
      </c>
      <c r="AH7">
        <f>IF(AA7,baseBetterNumbers(AG7*N7),AH6)</f>
        <v>0</v>
      </c>
      <c r="AJ7">
        <f>Numbers!MG7</f>
        <v>0</v>
      </c>
      <c r="AK7">
        <f>Numbers!MH7</f>
        <v>0</v>
      </c>
      <c r="AL7">
        <f t="shared" si="13"/>
        <v>1</v>
      </c>
      <c r="AM7">
        <f>IF(AK7,baseBetterNumbers(AL7*L7),AM6)</f>
        <v>0</v>
      </c>
      <c r="AO7">
        <f>Numbers!DN7</f>
        <v>5</v>
      </c>
      <c r="AP7">
        <f>Numbers!DO7</f>
        <v>1</v>
      </c>
      <c r="AQ7">
        <f t="shared" si="14"/>
        <v>0.5</v>
      </c>
      <c r="AR7">
        <f>IF(AP7,baseBetterNumbers(AQ7*L7),AR6)</f>
        <v>730</v>
      </c>
      <c r="AT7">
        <f>Numbers!EE7</f>
        <v>5</v>
      </c>
      <c r="AU7">
        <f>Numbers!EF7</f>
        <v>1</v>
      </c>
      <c r="AV7">
        <f t="shared" si="15"/>
        <v>0.5</v>
      </c>
      <c r="AW7">
        <f>IF(AU7,baseBetterNumbers(AV7*L7),AW6)</f>
        <v>730</v>
      </c>
      <c r="AY7">
        <f>Numbers!EY7</f>
        <v>5</v>
      </c>
      <c r="AZ7">
        <f>Numbers!EZ7</f>
        <v>1</v>
      </c>
      <c r="BA7">
        <f t="shared" si="16"/>
        <v>0.5</v>
      </c>
      <c r="BB7">
        <f>IF(AZ7,baseBetterNumbers(BA7*L7),BB6)</f>
        <v>730</v>
      </c>
      <c r="BD7">
        <f>Numbers!FP7</f>
        <v>5</v>
      </c>
      <c r="BE7">
        <f>Numbers!FQ7</f>
        <v>1</v>
      </c>
      <c r="BF7">
        <f t="shared" si="17"/>
        <v>0.5</v>
      </c>
      <c r="BG7">
        <f>IF(BE7,baseBetterNumbers(BF7*L7),BG6)</f>
        <v>730</v>
      </c>
      <c r="BI7">
        <f>Numbers!GJ7</f>
        <v>0</v>
      </c>
      <c r="BJ7">
        <f>Numbers!GK7</f>
        <v>0</v>
      </c>
      <c r="BK7">
        <f t="shared" si="18"/>
        <v>0.5</v>
      </c>
      <c r="BL7">
        <f>IF(BJ7,baseBetterNumbers(BK7*L7),BL6)</f>
        <v>0</v>
      </c>
      <c r="BN7">
        <f>Numbers!HA7</f>
        <v>0</v>
      </c>
      <c r="BO7">
        <f>Numbers!HB7</f>
        <v>0</v>
      </c>
      <c r="BP7">
        <f t="shared" si="19"/>
        <v>0.5</v>
      </c>
      <c r="BQ7">
        <f>IF(BO7,baseBetterNumbers(BP7*L7),BQ6)</f>
        <v>0</v>
      </c>
      <c r="BS7">
        <f>Numbers!HU7</f>
        <v>5</v>
      </c>
      <c r="BT7">
        <f>Numbers!HV7</f>
        <v>1</v>
      </c>
      <c r="BU7">
        <f t="shared" si="20"/>
        <v>0.5</v>
      </c>
      <c r="BV7">
        <f>IF(BT7,baseBetterNumbers(BU7*L7),BV6)</f>
        <v>730</v>
      </c>
      <c r="BW7">
        <f t="shared" si="21"/>
        <v>3</v>
      </c>
      <c r="BX7">
        <f t="shared" si="22"/>
        <v>18</v>
      </c>
      <c r="BZ7">
        <f>Numbers!IK7</f>
        <v>1</v>
      </c>
      <c r="CA7">
        <f>Numbers!IL7</f>
        <v>1</v>
      </c>
      <c r="CB7">
        <f t="shared" si="23"/>
        <v>0.5</v>
      </c>
      <c r="CC7">
        <f>IF(CA7,baseBetterNumbers(CB7*L7),CC6)</f>
        <v>730</v>
      </c>
      <c r="CE7">
        <f>Numbers!JJ7</f>
        <v>0</v>
      </c>
      <c r="CF7">
        <f>Numbers!JK7</f>
        <v>0</v>
      </c>
      <c r="CG7">
        <f t="shared" si="24"/>
        <v>0.5</v>
      </c>
      <c r="CH7">
        <f>IF(CF7,baseBetterNumbers(CG7*L7),CH6)</f>
        <v>0</v>
      </c>
      <c r="CJ7">
        <f>Numbers!MV7</f>
        <v>3</v>
      </c>
      <c r="CK7">
        <f>Numbers!MW7</f>
        <v>1</v>
      </c>
      <c r="CL7">
        <f t="shared" si="25"/>
        <v>0.5</v>
      </c>
      <c r="CM7">
        <f>IF(CK7,baseBetterNumbers(CL7*L7),CM6)</f>
        <v>730</v>
      </c>
      <c r="CO7">
        <f>Numbers!NK7</f>
        <v>4</v>
      </c>
      <c r="CP7">
        <f>Numbers!NL7</f>
        <v>1</v>
      </c>
      <c r="CQ7">
        <f t="shared" si="26"/>
        <v>0.5</v>
      </c>
      <c r="CR7">
        <f>IF(CP7,baseBetterNumbers(CQ7*L7),CR6)</f>
        <v>730</v>
      </c>
      <c r="CT7">
        <f>Numbers!OB7</f>
        <v>2</v>
      </c>
      <c r="CU7">
        <f>Numbers!OC7</f>
        <v>1</v>
      </c>
      <c r="CV7">
        <f t="shared" si="27"/>
        <v>0.5</v>
      </c>
      <c r="CW7">
        <f>IF(CU7,baseBetterNumbers(CV7*L7),CW6)</f>
        <v>730</v>
      </c>
      <c r="CY7">
        <f>Numbers!OQ7</f>
        <v>2</v>
      </c>
      <c r="CZ7">
        <f>Numbers!OR7</f>
        <v>1</v>
      </c>
      <c r="DA7">
        <f t="shared" si="28"/>
        <v>0.5</v>
      </c>
      <c r="DB7">
        <f>IF(CZ7,baseBetterNumbers(DA7*L7),DB6)</f>
        <v>730</v>
      </c>
      <c r="DD7">
        <f>Numbers!PV7</f>
        <v>0</v>
      </c>
      <c r="DE7">
        <f>Numbers!PW7</f>
        <v>0</v>
      </c>
      <c r="DF7">
        <f t="shared" si="29"/>
        <v>0.5</v>
      </c>
      <c r="DG7">
        <f>IF(DE7,baseBetterNumbers(DF7*L7),DG6)</f>
        <v>0</v>
      </c>
    </row>
    <row r="8" spans="1:116">
      <c r="A8">
        <f>Numbers!A8</f>
        <v>6</v>
      </c>
      <c r="B8">
        <f>Numbers!B8</f>
        <v>1</v>
      </c>
      <c r="C8">
        <f t="shared" si="0"/>
        <v>2</v>
      </c>
      <c r="D8">
        <f>IF(B8,baseBetterNumbers(C8*L8),D7)</f>
        <v>3220</v>
      </c>
      <c r="F8">
        <f>Numbers!KN8</f>
        <v>6</v>
      </c>
      <c r="G8">
        <f>Numbers!KO8</f>
        <v>1</v>
      </c>
      <c r="H8">
        <f>Numbers!BD8</f>
        <v>4</v>
      </c>
      <c r="I8">
        <f t="shared" si="1"/>
        <v>12</v>
      </c>
      <c r="J8">
        <f t="shared" si="2"/>
        <v>0.7</v>
      </c>
      <c r="K8">
        <f t="shared" si="3"/>
        <v>1.1000000000000001</v>
      </c>
      <c r="L8">
        <f>IF(G8,baseBetterNumbers(L7*K8),L7)</f>
        <v>1610</v>
      </c>
      <c r="M8">
        <f t="shared" si="4"/>
        <v>1.1000000000000001</v>
      </c>
      <c r="N8">
        <f>IF(G8,baseBetterNumbers(N7*M8),N7)</f>
        <v>81</v>
      </c>
      <c r="P8">
        <f>Numbers!LC8</f>
        <v>0</v>
      </c>
      <c r="Q8">
        <f>Numbers!LD8</f>
        <v>0</v>
      </c>
      <c r="R8">
        <f>Numbers!BF8</f>
        <v>0</v>
      </c>
      <c r="S8">
        <f t="shared" si="5"/>
        <v>5</v>
      </c>
      <c r="T8">
        <f t="shared" si="6"/>
        <v>10</v>
      </c>
      <c r="U8">
        <f t="shared" si="7"/>
        <v>1.2</v>
      </c>
      <c r="V8">
        <f>IF(Q8,baseBetterNumbers(U8*L8),V7)</f>
        <v>0</v>
      </c>
      <c r="W8">
        <f t="shared" si="8"/>
        <v>0.2</v>
      </c>
      <c r="X8">
        <f>IF(Q8,baseBetterNumbers(W8*N8),X7)</f>
        <v>0</v>
      </c>
      <c r="Z8">
        <f>Numbers!LR8</f>
        <v>0</v>
      </c>
      <c r="AA8">
        <f>Numbers!LS8</f>
        <v>0</v>
      </c>
      <c r="AB8">
        <f t="shared" si="9"/>
        <v>10</v>
      </c>
      <c r="AC8">
        <f>Numbers!BH8</f>
        <v>0</v>
      </c>
      <c r="AD8">
        <f t="shared" si="10"/>
        <v>0.4</v>
      </c>
      <c r="AE8">
        <f t="shared" si="11"/>
        <v>2</v>
      </c>
      <c r="AF8">
        <f>IF(AA8,baseBetterNumbers(AE8*L8),AF7)</f>
        <v>0</v>
      </c>
      <c r="AG8">
        <f t="shared" si="12"/>
        <v>4</v>
      </c>
      <c r="AH8">
        <f>IF(AA8,baseBetterNumbers(AG8*N8),AH7)</f>
        <v>0</v>
      </c>
      <c r="AJ8">
        <f>Numbers!MG8</f>
        <v>0</v>
      </c>
      <c r="AK8">
        <f>Numbers!MH8</f>
        <v>0</v>
      </c>
      <c r="AL8">
        <f t="shared" si="13"/>
        <v>1</v>
      </c>
      <c r="AM8">
        <f>IF(AK8,baseBetterNumbers(AL8*L8),AM7)</f>
        <v>0</v>
      </c>
      <c r="AO8">
        <f>Numbers!DN8</f>
        <v>6</v>
      </c>
      <c r="AP8">
        <f>Numbers!DO8</f>
        <v>1</v>
      </c>
      <c r="AQ8">
        <f t="shared" si="14"/>
        <v>0.5</v>
      </c>
      <c r="AR8">
        <f>IF(AP8,baseBetterNumbers(AQ8*L8),AR7)</f>
        <v>805</v>
      </c>
      <c r="AT8">
        <f>Numbers!EE8</f>
        <v>6</v>
      </c>
      <c r="AU8">
        <f>Numbers!EF8</f>
        <v>1</v>
      </c>
      <c r="AV8">
        <f t="shared" si="15"/>
        <v>0.5</v>
      </c>
      <c r="AW8">
        <f>IF(AU8,baseBetterNumbers(AV8*L8),AW7)</f>
        <v>805</v>
      </c>
      <c r="AY8">
        <f>Numbers!EY8</f>
        <v>6</v>
      </c>
      <c r="AZ8">
        <f>Numbers!EZ8</f>
        <v>1</v>
      </c>
      <c r="BA8">
        <f t="shared" si="16"/>
        <v>0.5</v>
      </c>
      <c r="BB8">
        <f>IF(AZ8,baseBetterNumbers(BA8*L8),BB7)</f>
        <v>805</v>
      </c>
      <c r="BD8">
        <f>Numbers!FP8</f>
        <v>6</v>
      </c>
      <c r="BE8">
        <f>Numbers!FQ8</f>
        <v>1</v>
      </c>
      <c r="BF8">
        <f t="shared" si="17"/>
        <v>0.5</v>
      </c>
      <c r="BG8">
        <f>IF(BE8,baseBetterNumbers(BF8*L8),BG7)</f>
        <v>805</v>
      </c>
      <c r="BI8">
        <f>Numbers!GJ8</f>
        <v>0</v>
      </c>
      <c r="BJ8">
        <f>Numbers!GK8</f>
        <v>0</v>
      </c>
      <c r="BK8">
        <f t="shared" si="18"/>
        <v>0.5</v>
      </c>
      <c r="BL8">
        <f>IF(BJ8,baseBetterNumbers(BK8*L8),BL7)</f>
        <v>0</v>
      </c>
      <c r="BN8">
        <f>Numbers!HA8</f>
        <v>0</v>
      </c>
      <c r="BO8">
        <f>Numbers!HB8</f>
        <v>0</v>
      </c>
      <c r="BP8">
        <f t="shared" si="19"/>
        <v>0.5</v>
      </c>
      <c r="BQ8">
        <f>IF(BO8,baseBetterNumbers(BP8*L8),BQ7)</f>
        <v>0</v>
      </c>
      <c r="BS8">
        <f>Numbers!HU8</f>
        <v>6</v>
      </c>
      <c r="BT8">
        <f>Numbers!HV8</f>
        <v>1</v>
      </c>
      <c r="BU8">
        <f t="shared" si="20"/>
        <v>0.5</v>
      </c>
      <c r="BV8">
        <f>IF(BT8,baseBetterNumbers(BU8*L8),BV7)</f>
        <v>805</v>
      </c>
      <c r="BW8">
        <v>2</v>
      </c>
      <c r="BX8">
        <f t="shared" si="22"/>
        <v>20</v>
      </c>
      <c r="BZ8">
        <f>Numbers!IK8</f>
        <v>2</v>
      </c>
      <c r="CA8">
        <f>Numbers!IL8</f>
        <v>1</v>
      </c>
      <c r="CB8">
        <f t="shared" si="23"/>
        <v>0.5</v>
      </c>
      <c r="CC8">
        <f>IF(CA8,baseBetterNumbers(CB8*L8),CC7)</f>
        <v>805</v>
      </c>
      <c r="CE8">
        <f>Numbers!JJ8</f>
        <v>1</v>
      </c>
      <c r="CF8">
        <f>Numbers!JK8</f>
        <v>1</v>
      </c>
      <c r="CG8">
        <f t="shared" si="24"/>
        <v>0.5</v>
      </c>
      <c r="CH8">
        <f>IF(CF8,baseBetterNumbers(CG8*L8),CH7)</f>
        <v>805</v>
      </c>
      <c r="CJ8">
        <f>Numbers!MV8</f>
        <v>4</v>
      </c>
      <c r="CK8">
        <f>Numbers!MW8</f>
        <v>1</v>
      </c>
      <c r="CL8">
        <f t="shared" si="25"/>
        <v>0.5</v>
      </c>
      <c r="CM8">
        <f>IF(CK8,baseBetterNumbers(CL8*L8),CM7)</f>
        <v>805</v>
      </c>
      <c r="CO8">
        <f>Numbers!NK8</f>
        <v>5</v>
      </c>
      <c r="CP8">
        <f>Numbers!NL8</f>
        <v>1</v>
      </c>
      <c r="CQ8">
        <f t="shared" si="26"/>
        <v>0.5</v>
      </c>
      <c r="CR8">
        <f>IF(CP8,baseBetterNumbers(CQ8*L8),CR7)</f>
        <v>805</v>
      </c>
      <c r="CT8">
        <f>Numbers!OB8</f>
        <v>3</v>
      </c>
      <c r="CU8">
        <f>Numbers!OC8</f>
        <v>1</v>
      </c>
      <c r="CV8">
        <f t="shared" si="27"/>
        <v>0.5</v>
      </c>
      <c r="CW8">
        <f>IF(CU8,baseBetterNumbers(CV8*L8),CW7)</f>
        <v>805</v>
      </c>
      <c r="CY8">
        <f>Numbers!OQ8</f>
        <v>3</v>
      </c>
      <c r="CZ8">
        <f>Numbers!OR8</f>
        <v>1</v>
      </c>
      <c r="DA8">
        <f t="shared" si="28"/>
        <v>0.5</v>
      </c>
      <c r="DB8">
        <f>IF(CZ8,baseBetterNumbers(DA8*L8),DB7)</f>
        <v>805</v>
      </c>
      <c r="DD8">
        <f>Numbers!PV8</f>
        <v>0</v>
      </c>
      <c r="DE8">
        <f>Numbers!PW8</f>
        <v>0</v>
      </c>
      <c r="DF8">
        <f t="shared" si="29"/>
        <v>0.5</v>
      </c>
      <c r="DG8">
        <f>IF(DE8,baseBetterNumbers(DF8*L8),DG7)</f>
        <v>0</v>
      </c>
    </row>
    <row r="9" spans="1:116">
      <c r="A9">
        <f>Numbers!A9</f>
        <v>7</v>
      </c>
      <c r="B9">
        <f>Numbers!B9</f>
        <v>1</v>
      </c>
      <c r="C9">
        <f t="shared" si="0"/>
        <v>2</v>
      </c>
      <c r="D9">
        <f>IF(B9,baseBetterNumbers(C9*L9),D8)</f>
        <v>3540</v>
      </c>
      <c r="F9">
        <f>Numbers!KN9</f>
        <v>7</v>
      </c>
      <c r="G9">
        <f>Numbers!KO9</f>
        <v>1</v>
      </c>
      <c r="H9">
        <f>Numbers!BD9</f>
        <v>4</v>
      </c>
      <c r="I9">
        <f t="shared" si="1"/>
        <v>12</v>
      </c>
      <c r="J9">
        <f t="shared" si="2"/>
        <v>0.7</v>
      </c>
      <c r="K9">
        <f t="shared" si="3"/>
        <v>1.1000000000000001</v>
      </c>
      <c r="L9">
        <f>IF(G9,baseBetterNumbers(L8*K9),L8)</f>
        <v>1770</v>
      </c>
      <c r="M9">
        <f t="shared" si="4"/>
        <v>1.1000000000000001</v>
      </c>
      <c r="N9">
        <f>IF(G9,baseBetterNumbers(N8*M9),N8)</f>
        <v>89</v>
      </c>
      <c r="P9">
        <f>Numbers!LC9</f>
        <v>0</v>
      </c>
      <c r="Q9">
        <f>Numbers!LD9</f>
        <v>0</v>
      </c>
      <c r="R9">
        <f>Numbers!BF9</f>
        <v>0</v>
      </c>
      <c r="S9">
        <f t="shared" si="5"/>
        <v>5</v>
      </c>
      <c r="T9">
        <f t="shared" si="6"/>
        <v>10</v>
      </c>
      <c r="U9">
        <f t="shared" si="7"/>
        <v>1.2</v>
      </c>
      <c r="V9">
        <f>IF(Q9,baseBetterNumbers(U9*L9),V8)</f>
        <v>0</v>
      </c>
      <c r="W9">
        <f t="shared" si="8"/>
        <v>0.2</v>
      </c>
      <c r="X9">
        <f>IF(Q9,baseBetterNumbers(W9*N9),X8)</f>
        <v>0</v>
      </c>
      <c r="Z9">
        <f>Numbers!LR9</f>
        <v>0</v>
      </c>
      <c r="AA9">
        <f>Numbers!LS9</f>
        <v>0</v>
      </c>
      <c r="AB9">
        <f t="shared" si="9"/>
        <v>10</v>
      </c>
      <c r="AC9">
        <f>Numbers!BH9</f>
        <v>0</v>
      </c>
      <c r="AD9">
        <f t="shared" si="10"/>
        <v>0.4</v>
      </c>
      <c r="AE9">
        <f t="shared" si="11"/>
        <v>2</v>
      </c>
      <c r="AF9">
        <f>IF(AA9,baseBetterNumbers(AE9*L9),AF8)</f>
        <v>0</v>
      </c>
      <c r="AG9">
        <f t="shared" si="12"/>
        <v>4</v>
      </c>
      <c r="AH9">
        <f>IF(AA9,baseBetterNumbers(AG9*N9),AH8)</f>
        <v>0</v>
      </c>
      <c r="AJ9">
        <f>Numbers!MG9</f>
        <v>0</v>
      </c>
      <c r="AK9">
        <f>Numbers!MH9</f>
        <v>0</v>
      </c>
      <c r="AL9">
        <f t="shared" si="13"/>
        <v>1</v>
      </c>
      <c r="AM9">
        <f>IF(AK9,baseBetterNumbers(AL9*L9),AM8)</f>
        <v>0</v>
      </c>
      <c r="AO9">
        <f>Numbers!DN9</f>
        <v>7</v>
      </c>
      <c r="AP9">
        <f>Numbers!DO9</f>
        <v>1</v>
      </c>
      <c r="AQ9">
        <f t="shared" si="14"/>
        <v>0.5</v>
      </c>
      <c r="AR9">
        <f>IF(AP9,baseBetterNumbers(AQ9*L9),AR8)</f>
        <v>885</v>
      </c>
      <c r="AT9">
        <f>Numbers!EE9</f>
        <v>7</v>
      </c>
      <c r="AU9">
        <f>Numbers!EF9</f>
        <v>1</v>
      </c>
      <c r="AV9">
        <f t="shared" si="15"/>
        <v>0.5</v>
      </c>
      <c r="AW9">
        <f>IF(AU9,baseBetterNumbers(AV9*L9),AW8)</f>
        <v>885</v>
      </c>
      <c r="AY9">
        <f>Numbers!EY9</f>
        <v>7</v>
      </c>
      <c r="AZ9">
        <f>Numbers!EZ9</f>
        <v>1</v>
      </c>
      <c r="BA9">
        <f t="shared" si="16"/>
        <v>0.5</v>
      </c>
      <c r="BB9">
        <f>IF(AZ9,baseBetterNumbers(BA9*L9),BB8)</f>
        <v>885</v>
      </c>
      <c r="BD9">
        <f>Numbers!FP9</f>
        <v>7</v>
      </c>
      <c r="BE9">
        <f>Numbers!FQ9</f>
        <v>1</v>
      </c>
      <c r="BF9">
        <f t="shared" si="17"/>
        <v>0.5</v>
      </c>
      <c r="BG9">
        <f>IF(BE9,baseBetterNumbers(BF9*L9),BG8)</f>
        <v>885</v>
      </c>
      <c r="BI9">
        <f>Numbers!GJ9</f>
        <v>1</v>
      </c>
      <c r="BJ9">
        <f>Numbers!GK9</f>
        <v>1</v>
      </c>
      <c r="BK9">
        <f t="shared" si="18"/>
        <v>0.5</v>
      </c>
      <c r="BL9">
        <f>IF(BJ9,baseBetterNumbers(BK9*L9),BL8)</f>
        <v>885</v>
      </c>
      <c r="BN9">
        <f>Numbers!HA9</f>
        <v>1</v>
      </c>
      <c r="BO9">
        <f>Numbers!HB9</f>
        <v>1</v>
      </c>
      <c r="BP9">
        <f t="shared" si="19"/>
        <v>0.5</v>
      </c>
      <c r="BQ9">
        <f>IF(BO9,baseBetterNumbers(BP9*L9),BQ8)</f>
        <v>885</v>
      </c>
      <c r="BS9">
        <f>Numbers!HU9</f>
        <v>7</v>
      </c>
      <c r="BT9">
        <f>Numbers!HV9</f>
        <v>1</v>
      </c>
      <c r="BU9">
        <f t="shared" si="20"/>
        <v>0.5</v>
      </c>
      <c r="BV9">
        <f>IF(BT9,baseBetterNumbers(BU9*L9),BV8)</f>
        <v>885</v>
      </c>
      <c r="BW9">
        <f t="shared" si="21"/>
        <v>2</v>
      </c>
      <c r="BX9">
        <f t="shared" si="22"/>
        <v>22</v>
      </c>
      <c r="BZ9">
        <f>Numbers!IK9</f>
        <v>3</v>
      </c>
      <c r="CA9">
        <f>Numbers!IL9</f>
        <v>1</v>
      </c>
      <c r="CB9">
        <f t="shared" si="23"/>
        <v>0.5</v>
      </c>
      <c r="CC9">
        <f>IF(CA9,baseBetterNumbers(CB9*L9),CC8)</f>
        <v>885</v>
      </c>
      <c r="CE9">
        <f>Numbers!JJ9</f>
        <v>2</v>
      </c>
      <c r="CF9">
        <f>Numbers!JK9</f>
        <v>1</v>
      </c>
      <c r="CG9">
        <f t="shared" si="24"/>
        <v>0.5</v>
      </c>
      <c r="CH9">
        <f>IF(CF9,baseBetterNumbers(CG9*L9),CH8)</f>
        <v>885</v>
      </c>
      <c r="CJ9">
        <f>Numbers!MV9</f>
        <v>5</v>
      </c>
      <c r="CK9">
        <f>Numbers!MW9</f>
        <v>1</v>
      </c>
      <c r="CL9">
        <f t="shared" si="25"/>
        <v>0.5</v>
      </c>
      <c r="CM9">
        <f>IF(CK9,baseBetterNumbers(CL9*L9),CM8)</f>
        <v>885</v>
      </c>
      <c r="CO9">
        <f>Numbers!NK9</f>
        <v>6</v>
      </c>
      <c r="CP9">
        <f>Numbers!NL9</f>
        <v>1</v>
      </c>
      <c r="CQ9">
        <f t="shared" si="26"/>
        <v>0.5</v>
      </c>
      <c r="CR9">
        <f>IF(CP9,baseBetterNumbers(CQ9*L9),CR8)</f>
        <v>885</v>
      </c>
      <c r="CT9">
        <f>Numbers!OB9</f>
        <v>4</v>
      </c>
      <c r="CU9">
        <f>Numbers!OC9</f>
        <v>1</v>
      </c>
      <c r="CV9">
        <f t="shared" si="27"/>
        <v>0.5</v>
      </c>
      <c r="CW9">
        <f>IF(CU9,baseBetterNumbers(CV9*L9),CW8)</f>
        <v>885</v>
      </c>
      <c r="CY9">
        <f>Numbers!OQ9</f>
        <v>4</v>
      </c>
      <c r="CZ9">
        <f>Numbers!OR9</f>
        <v>1</v>
      </c>
      <c r="DA9">
        <f t="shared" si="28"/>
        <v>0.5</v>
      </c>
      <c r="DB9">
        <f>IF(CZ9,baseBetterNumbers(DA9*L9),DB8)</f>
        <v>885</v>
      </c>
      <c r="DD9">
        <f>Numbers!PV9</f>
        <v>0</v>
      </c>
      <c r="DE9">
        <f>Numbers!PW9</f>
        <v>0</v>
      </c>
      <c r="DF9">
        <f t="shared" si="29"/>
        <v>0.5</v>
      </c>
      <c r="DG9">
        <f>IF(DE9,baseBetterNumbers(DF9*L9),DG8)</f>
        <v>0</v>
      </c>
    </row>
    <row r="10" spans="1:116">
      <c r="A10">
        <f>Numbers!A10</f>
        <v>8</v>
      </c>
      <c r="B10">
        <f>Numbers!B10</f>
        <v>1</v>
      </c>
      <c r="C10">
        <f t="shared" si="0"/>
        <v>2</v>
      </c>
      <c r="D10">
        <f>IF(B10,baseBetterNumbers(C10*L10),D9)</f>
        <v>3900</v>
      </c>
      <c r="F10">
        <f>Numbers!KN10</f>
        <v>8</v>
      </c>
      <c r="G10">
        <f>Numbers!KO10</f>
        <v>1</v>
      </c>
      <c r="H10">
        <f>Numbers!BD10</f>
        <v>4</v>
      </c>
      <c r="I10">
        <f t="shared" si="1"/>
        <v>12</v>
      </c>
      <c r="J10">
        <f t="shared" si="2"/>
        <v>0.7</v>
      </c>
      <c r="K10">
        <f t="shared" si="3"/>
        <v>1.1000000000000001</v>
      </c>
      <c r="L10">
        <f>IF(G10,baseBetterNumbers(L9*K10),L9)</f>
        <v>1950</v>
      </c>
      <c r="M10">
        <f t="shared" si="4"/>
        <v>1.1000000000000001</v>
      </c>
      <c r="N10">
        <f>IF(G10,baseBetterNumbers(N9*M10),N9)</f>
        <v>98</v>
      </c>
      <c r="P10">
        <f>Numbers!LC10</f>
        <v>1</v>
      </c>
      <c r="Q10">
        <f>Numbers!LD10</f>
        <v>1</v>
      </c>
      <c r="R10">
        <f>Numbers!BF10</f>
        <v>1</v>
      </c>
      <c r="S10">
        <f t="shared" si="5"/>
        <v>5</v>
      </c>
      <c r="T10">
        <f t="shared" si="6"/>
        <v>10</v>
      </c>
      <c r="U10">
        <f t="shared" si="7"/>
        <v>1.2</v>
      </c>
      <c r="V10">
        <f>IF(Q10,baseBetterNumbers(U10*L10),V9)</f>
        <v>2340</v>
      </c>
      <c r="W10">
        <f t="shared" si="8"/>
        <v>0.2</v>
      </c>
      <c r="X10">
        <f>IF(Q10,baseBetterNumbers(W10*N10),X9)</f>
        <v>20</v>
      </c>
      <c r="Z10">
        <f>Numbers!LR10</f>
        <v>0</v>
      </c>
      <c r="AA10">
        <f>Numbers!LS10</f>
        <v>0</v>
      </c>
      <c r="AB10">
        <f t="shared" si="9"/>
        <v>10</v>
      </c>
      <c r="AC10">
        <f>Numbers!BH10</f>
        <v>0</v>
      </c>
      <c r="AD10">
        <f t="shared" si="10"/>
        <v>0.4</v>
      </c>
      <c r="AE10">
        <f t="shared" si="11"/>
        <v>2</v>
      </c>
      <c r="AF10">
        <f>IF(AA10,baseBetterNumbers(AE10*L10),AF9)</f>
        <v>0</v>
      </c>
      <c r="AG10">
        <f t="shared" si="12"/>
        <v>4</v>
      </c>
      <c r="AH10">
        <f>IF(AA10,baseBetterNumbers(AG10*N10),AH9)</f>
        <v>0</v>
      </c>
      <c r="AJ10">
        <f>Numbers!MG10</f>
        <v>0</v>
      </c>
      <c r="AK10">
        <f>Numbers!MH10</f>
        <v>0</v>
      </c>
      <c r="AL10">
        <f t="shared" si="13"/>
        <v>1</v>
      </c>
      <c r="AM10">
        <f>IF(AK10,baseBetterNumbers(AL10*L10),AM9)</f>
        <v>0</v>
      </c>
      <c r="AO10">
        <f>Numbers!DN10</f>
        <v>8</v>
      </c>
      <c r="AP10">
        <f>Numbers!DO10</f>
        <v>1</v>
      </c>
      <c r="AQ10">
        <f t="shared" si="14"/>
        <v>0.5</v>
      </c>
      <c r="AR10">
        <f>IF(AP10,baseBetterNumbers(AQ10*L10),AR9)</f>
        <v>975</v>
      </c>
      <c r="AT10">
        <f>Numbers!EE10</f>
        <v>8</v>
      </c>
      <c r="AU10">
        <f>Numbers!EF10</f>
        <v>1</v>
      </c>
      <c r="AV10">
        <f t="shared" si="15"/>
        <v>0.5</v>
      </c>
      <c r="AW10">
        <f>IF(AU10,baseBetterNumbers(AV10*L10),AW9)</f>
        <v>975</v>
      </c>
      <c r="AY10">
        <f>Numbers!EY10</f>
        <v>8</v>
      </c>
      <c r="AZ10">
        <f>Numbers!EZ10</f>
        <v>1</v>
      </c>
      <c r="BA10">
        <f t="shared" si="16"/>
        <v>0.5</v>
      </c>
      <c r="BB10">
        <f>IF(AZ10,baseBetterNumbers(BA10*L10),BB9)</f>
        <v>975</v>
      </c>
      <c r="BD10">
        <f>Numbers!FP10</f>
        <v>8</v>
      </c>
      <c r="BE10">
        <f>Numbers!FQ10</f>
        <v>1</v>
      </c>
      <c r="BF10">
        <f t="shared" si="17"/>
        <v>0.5</v>
      </c>
      <c r="BG10">
        <f>IF(BE10,baseBetterNumbers(BF10*L10),BG9)</f>
        <v>975</v>
      </c>
      <c r="BI10">
        <f>Numbers!GJ10</f>
        <v>2</v>
      </c>
      <c r="BJ10">
        <f>Numbers!GK10</f>
        <v>1</v>
      </c>
      <c r="BK10">
        <f t="shared" si="18"/>
        <v>0.5</v>
      </c>
      <c r="BL10">
        <f>IF(BJ10,baseBetterNumbers(BK10*L10),BL9)</f>
        <v>975</v>
      </c>
      <c r="BN10">
        <f>Numbers!HA10</f>
        <v>2</v>
      </c>
      <c r="BO10">
        <f>Numbers!HB10</f>
        <v>1</v>
      </c>
      <c r="BP10">
        <f t="shared" si="19"/>
        <v>0.5</v>
      </c>
      <c r="BQ10">
        <f>IF(BO10,baseBetterNumbers(BP10*L10),BQ9)</f>
        <v>975</v>
      </c>
      <c r="BS10">
        <f>Numbers!HU10</f>
        <v>8</v>
      </c>
      <c r="BT10">
        <f>Numbers!HV10</f>
        <v>1</v>
      </c>
      <c r="BU10">
        <f t="shared" si="20"/>
        <v>0.5</v>
      </c>
      <c r="BV10">
        <f>IF(BT10,baseBetterNumbers(BU10*L10),BV9)</f>
        <v>975</v>
      </c>
      <c r="BW10">
        <f t="shared" si="21"/>
        <v>2</v>
      </c>
      <c r="BX10">
        <f t="shared" si="22"/>
        <v>24</v>
      </c>
      <c r="BZ10">
        <f>Numbers!IK10</f>
        <v>4</v>
      </c>
      <c r="CA10">
        <f>Numbers!IL10</f>
        <v>1</v>
      </c>
      <c r="CB10">
        <f t="shared" si="23"/>
        <v>0.5</v>
      </c>
      <c r="CC10">
        <f>IF(CA10,baseBetterNumbers(CB10*L10),CC9)</f>
        <v>975</v>
      </c>
      <c r="CE10">
        <f>Numbers!JJ10</f>
        <v>3</v>
      </c>
      <c r="CF10">
        <f>Numbers!JK10</f>
        <v>1</v>
      </c>
      <c r="CG10">
        <f t="shared" si="24"/>
        <v>0.5</v>
      </c>
      <c r="CH10">
        <f>IF(CF10,baseBetterNumbers(CG10*L10),CH9)</f>
        <v>975</v>
      </c>
      <c r="CJ10">
        <f>Numbers!MV10</f>
        <v>6</v>
      </c>
      <c r="CK10">
        <f>Numbers!MW10</f>
        <v>1</v>
      </c>
      <c r="CL10">
        <f t="shared" si="25"/>
        <v>0.5</v>
      </c>
      <c r="CM10">
        <f>IF(CK10,baseBetterNumbers(CL10*L10),CM9)</f>
        <v>975</v>
      </c>
      <c r="CO10">
        <f>Numbers!NK10</f>
        <v>7</v>
      </c>
      <c r="CP10">
        <f>Numbers!NL10</f>
        <v>1</v>
      </c>
      <c r="CQ10">
        <f t="shared" si="26"/>
        <v>0.5</v>
      </c>
      <c r="CR10">
        <f>IF(CP10,baseBetterNumbers(CQ10*L10),CR9)</f>
        <v>975</v>
      </c>
      <c r="CT10">
        <f>Numbers!OB10</f>
        <v>5</v>
      </c>
      <c r="CU10">
        <f>Numbers!OC10</f>
        <v>1</v>
      </c>
      <c r="CV10">
        <f t="shared" si="27"/>
        <v>0.5</v>
      </c>
      <c r="CW10">
        <f>IF(CU10,baseBetterNumbers(CV10*L10),CW9)</f>
        <v>975</v>
      </c>
      <c r="CY10">
        <f>Numbers!OQ10</f>
        <v>5</v>
      </c>
      <c r="CZ10">
        <f>Numbers!OR10</f>
        <v>1</v>
      </c>
      <c r="DA10">
        <f t="shared" si="28"/>
        <v>0.5</v>
      </c>
      <c r="DB10">
        <f>IF(CZ10,baseBetterNumbers(DA10*L10),DB9)</f>
        <v>975</v>
      </c>
      <c r="DD10">
        <f>Numbers!PV10</f>
        <v>0</v>
      </c>
      <c r="DE10">
        <f>Numbers!PW10</f>
        <v>0</v>
      </c>
      <c r="DF10">
        <f t="shared" si="29"/>
        <v>0.5</v>
      </c>
      <c r="DG10">
        <f>IF(DE10,baseBetterNumbers(DF10*L10),DG9)</f>
        <v>0</v>
      </c>
    </row>
    <row r="11" spans="1:116">
      <c r="A11">
        <f>Numbers!A11</f>
        <v>9</v>
      </c>
      <c r="B11">
        <f>Numbers!B11</f>
        <v>1</v>
      </c>
      <c r="C11">
        <f t="shared" si="0"/>
        <v>2</v>
      </c>
      <c r="D11">
        <f>IF(B11,baseBetterNumbers(C11*L11),D10)</f>
        <v>4280</v>
      </c>
      <c r="F11">
        <f>Numbers!KN11</f>
        <v>9</v>
      </c>
      <c r="G11">
        <f>Numbers!KO11</f>
        <v>1</v>
      </c>
      <c r="H11">
        <f>Numbers!BD11</f>
        <v>4</v>
      </c>
      <c r="I11">
        <f t="shared" si="1"/>
        <v>12</v>
      </c>
      <c r="J11">
        <f t="shared" si="2"/>
        <v>0.7</v>
      </c>
      <c r="K11">
        <f t="shared" si="3"/>
        <v>1.1000000000000001</v>
      </c>
      <c r="L11">
        <f>IF(G11,baseBetterNumbers(L10*K11),L10)</f>
        <v>2140</v>
      </c>
      <c r="M11">
        <f t="shared" si="4"/>
        <v>1.1000000000000001</v>
      </c>
      <c r="N11">
        <f>IF(G11,baseBetterNumbers(N10*M11),N10)</f>
        <v>108</v>
      </c>
      <c r="P11">
        <f>Numbers!LC11</f>
        <v>2</v>
      </c>
      <c r="Q11">
        <f>Numbers!LD11</f>
        <v>1</v>
      </c>
      <c r="R11">
        <f>Numbers!BF11</f>
        <v>1</v>
      </c>
      <c r="S11">
        <f t="shared" si="5"/>
        <v>5</v>
      </c>
      <c r="T11">
        <f t="shared" si="6"/>
        <v>10</v>
      </c>
      <c r="U11">
        <f t="shared" si="7"/>
        <v>1.2</v>
      </c>
      <c r="V11">
        <f>IF(Q11,baseBetterNumbers(U11*L11),V10)</f>
        <v>2570</v>
      </c>
      <c r="W11">
        <f t="shared" si="8"/>
        <v>0.2</v>
      </c>
      <c r="X11">
        <f>IF(Q11,baseBetterNumbers(W11*N11),X10)</f>
        <v>22</v>
      </c>
      <c r="Z11">
        <f>Numbers!LR11</f>
        <v>0</v>
      </c>
      <c r="AA11">
        <f>Numbers!LS11</f>
        <v>0</v>
      </c>
      <c r="AB11">
        <f t="shared" si="9"/>
        <v>10</v>
      </c>
      <c r="AC11">
        <f>Numbers!BH11</f>
        <v>0</v>
      </c>
      <c r="AD11">
        <f t="shared" si="10"/>
        <v>0.4</v>
      </c>
      <c r="AE11">
        <f t="shared" si="11"/>
        <v>2</v>
      </c>
      <c r="AF11">
        <f>IF(AA11,baseBetterNumbers(AE11*L11),AF10)</f>
        <v>0</v>
      </c>
      <c r="AG11">
        <f t="shared" si="12"/>
        <v>4</v>
      </c>
      <c r="AH11">
        <f>IF(AA11,baseBetterNumbers(AG11*N11),AH10)</f>
        <v>0</v>
      </c>
      <c r="AJ11">
        <f>Numbers!MG11</f>
        <v>1</v>
      </c>
      <c r="AK11">
        <f>Numbers!MH11</f>
        <v>1</v>
      </c>
      <c r="AL11">
        <f t="shared" si="13"/>
        <v>1</v>
      </c>
      <c r="AM11">
        <f>IF(AK11,baseBetterNumbers(AL11*L11),AM10)</f>
        <v>2140</v>
      </c>
      <c r="AO11">
        <f>Numbers!DN11</f>
        <v>9</v>
      </c>
      <c r="AP11">
        <f>Numbers!DO11</f>
        <v>1</v>
      </c>
      <c r="AQ11">
        <f t="shared" si="14"/>
        <v>0.5</v>
      </c>
      <c r="AR11">
        <f>IF(AP11,baseBetterNumbers(AQ11*L11),AR10)</f>
        <v>1070</v>
      </c>
      <c r="AT11">
        <f>Numbers!EE11</f>
        <v>9</v>
      </c>
      <c r="AU11">
        <f>Numbers!EF11</f>
        <v>1</v>
      </c>
      <c r="AV11">
        <f t="shared" si="15"/>
        <v>0.5</v>
      </c>
      <c r="AW11">
        <f>IF(AU11,baseBetterNumbers(AV11*L11),AW10)</f>
        <v>1070</v>
      </c>
      <c r="AY11">
        <f>Numbers!EY11</f>
        <v>9</v>
      </c>
      <c r="AZ11">
        <f>Numbers!EZ11</f>
        <v>1</v>
      </c>
      <c r="BA11">
        <f t="shared" si="16"/>
        <v>0.5</v>
      </c>
      <c r="BB11">
        <f>IF(AZ11,baseBetterNumbers(BA11*L11),BB10)</f>
        <v>1070</v>
      </c>
      <c r="BD11">
        <f>Numbers!FP11</f>
        <v>9</v>
      </c>
      <c r="BE11">
        <f>Numbers!FQ11</f>
        <v>1</v>
      </c>
      <c r="BF11">
        <f t="shared" si="17"/>
        <v>0.5</v>
      </c>
      <c r="BG11">
        <f>IF(BE11,baseBetterNumbers(BF11*L11),BG10)</f>
        <v>1070</v>
      </c>
      <c r="BI11">
        <f>Numbers!GJ11</f>
        <v>3</v>
      </c>
      <c r="BJ11">
        <f>Numbers!GK11</f>
        <v>1</v>
      </c>
      <c r="BK11">
        <f t="shared" si="18"/>
        <v>0.5</v>
      </c>
      <c r="BL11">
        <f>IF(BJ11,baseBetterNumbers(BK11*L11),BL10)</f>
        <v>1070</v>
      </c>
      <c r="BN11">
        <f>Numbers!HA11</f>
        <v>3</v>
      </c>
      <c r="BO11">
        <f>Numbers!HB11</f>
        <v>1</v>
      </c>
      <c r="BP11">
        <f t="shared" si="19"/>
        <v>0.5</v>
      </c>
      <c r="BQ11">
        <f>IF(BO11,baseBetterNumbers(BP11*L11),BQ10)</f>
        <v>1070</v>
      </c>
      <c r="BS11">
        <f>Numbers!HU11</f>
        <v>9</v>
      </c>
      <c r="BT11">
        <f>Numbers!HV11</f>
        <v>1</v>
      </c>
      <c r="BU11">
        <f t="shared" si="20"/>
        <v>0.5</v>
      </c>
      <c r="BV11">
        <f>IF(BT11,baseBetterNumbers(BU11*L11),BV10)</f>
        <v>1070</v>
      </c>
      <c r="BW11">
        <f t="shared" si="21"/>
        <v>2</v>
      </c>
      <c r="BX11">
        <f t="shared" si="22"/>
        <v>26</v>
      </c>
      <c r="BZ11">
        <f>Numbers!IK11</f>
        <v>5</v>
      </c>
      <c r="CA11">
        <f>Numbers!IL11</f>
        <v>1</v>
      </c>
      <c r="CB11">
        <f t="shared" si="23"/>
        <v>0.5</v>
      </c>
      <c r="CC11">
        <f>IF(CA11,baseBetterNumbers(CB11*L11),CC10)</f>
        <v>1070</v>
      </c>
      <c r="CE11">
        <f>Numbers!JJ11</f>
        <v>4</v>
      </c>
      <c r="CF11">
        <f>Numbers!JK11</f>
        <v>1</v>
      </c>
      <c r="CG11">
        <f t="shared" si="24"/>
        <v>0.5</v>
      </c>
      <c r="CH11">
        <f>IF(CF11,baseBetterNumbers(CG11*L11),CH10)</f>
        <v>1070</v>
      </c>
      <c r="CJ11">
        <f>Numbers!MV11</f>
        <v>7</v>
      </c>
      <c r="CK11">
        <f>Numbers!MW11</f>
        <v>1</v>
      </c>
      <c r="CL11">
        <f t="shared" si="25"/>
        <v>0.5</v>
      </c>
      <c r="CM11">
        <f>IF(CK11,baseBetterNumbers(CL11*L11),CM10)</f>
        <v>1070</v>
      </c>
      <c r="CO11">
        <f>Numbers!NK11</f>
        <v>8</v>
      </c>
      <c r="CP11">
        <f>Numbers!NL11</f>
        <v>1</v>
      </c>
      <c r="CQ11">
        <f t="shared" si="26"/>
        <v>0.5</v>
      </c>
      <c r="CR11">
        <f>IF(CP11,baseBetterNumbers(CQ11*L11),CR10)</f>
        <v>1070</v>
      </c>
      <c r="CT11">
        <f>Numbers!OB11</f>
        <v>6</v>
      </c>
      <c r="CU11">
        <f>Numbers!OC11</f>
        <v>1</v>
      </c>
      <c r="CV11">
        <f t="shared" si="27"/>
        <v>0.5</v>
      </c>
      <c r="CW11">
        <f>IF(CU11,baseBetterNumbers(CV11*L11),CW10)</f>
        <v>1070</v>
      </c>
      <c r="CY11">
        <f>Numbers!OQ11</f>
        <v>6</v>
      </c>
      <c r="CZ11">
        <f>Numbers!OR11</f>
        <v>1</v>
      </c>
      <c r="DA11">
        <f t="shared" si="28"/>
        <v>0.5</v>
      </c>
      <c r="DB11">
        <f>IF(CZ11,baseBetterNumbers(DA11*L11),DB10)</f>
        <v>1070</v>
      </c>
      <c r="DD11">
        <f>Numbers!PV11</f>
        <v>1</v>
      </c>
      <c r="DE11">
        <f>Numbers!PW11</f>
        <v>1</v>
      </c>
      <c r="DF11">
        <f t="shared" si="29"/>
        <v>0.5</v>
      </c>
      <c r="DG11">
        <f>IF(DE11,baseBetterNumbers(DF11*L11),DG10)</f>
        <v>1070</v>
      </c>
      <c r="DI11">
        <v>20</v>
      </c>
      <c r="DJ11">
        <v>1</v>
      </c>
      <c r="DK11">
        <v>0</v>
      </c>
      <c r="DL11">
        <v>0</v>
      </c>
    </row>
    <row r="12" spans="1:116">
      <c r="A12">
        <f>Numbers!A12</f>
        <v>10</v>
      </c>
      <c r="B12">
        <f>Numbers!B12</f>
        <v>1</v>
      </c>
      <c r="C12">
        <f t="shared" si="0"/>
        <v>2</v>
      </c>
      <c r="D12">
        <f>IF(B12,baseBetterNumbers(C12*L12),D11)</f>
        <v>4700</v>
      </c>
      <c r="F12">
        <f>Numbers!KN12</f>
        <v>10</v>
      </c>
      <c r="G12">
        <f>Numbers!KO12</f>
        <v>1</v>
      </c>
      <c r="H12">
        <f>Numbers!BD12</f>
        <v>4</v>
      </c>
      <c r="I12">
        <f t="shared" si="1"/>
        <v>12</v>
      </c>
      <c r="J12">
        <f t="shared" si="2"/>
        <v>0.7</v>
      </c>
      <c r="K12">
        <f t="shared" si="3"/>
        <v>1.1000000000000001</v>
      </c>
      <c r="L12">
        <f>IF(G12,baseBetterNumbers(L11*K12),L11)</f>
        <v>2350</v>
      </c>
      <c r="M12">
        <f t="shared" si="4"/>
        <v>1.1000000000000001</v>
      </c>
      <c r="N12">
        <f>IF(G12,baseBetterNumbers(N11*M12),N11)</f>
        <v>119</v>
      </c>
      <c r="P12">
        <f>Numbers!LC12</f>
        <v>3</v>
      </c>
      <c r="Q12">
        <f>Numbers!LD12</f>
        <v>1</v>
      </c>
      <c r="R12">
        <f>Numbers!BF12</f>
        <v>2</v>
      </c>
      <c r="S12">
        <f t="shared" si="5"/>
        <v>5</v>
      </c>
      <c r="T12">
        <f t="shared" si="6"/>
        <v>10</v>
      </c>
      <c r="U12">
        <f t="shared" si="7"/>
        <v>1.2</v>
      </c>
      <c r="V12">
        <f>IF(Q12,baseBetterNumbers(U12*L12),V11)</f>
        <v>2820</v>
      </c>
      <c r="W12">
        <f t="shared" si="8"/>
        <v>0.2</v>
      </c>
      <c r="X12">
        <f>IF(Q12,baseBetterNumbers(W12*N12),X11)</f>
        <v>24</v>
      </c>
      <c r="Z12">
        <f>Numbers!LR12</f>
        <v>0</v>
      </c>
      <c r="AA12">
        <f>Numbers!LS12</f>
        <v>0</v>
      </c>
      <c r="AB12">
        <f t="shared" si="9"/>
        <v>10</v>
      </c>
      <c r="AC12">
        <f>Numbers!BH12</f>
        <v>0</v>
      </c>
      <c r="AD12">
        <f t="shared" si="10"/>
        <v>0.4</v>
      </c>
      <c r="AE12">
        <f t="shared" si="11"/>
        <v>2</v>
      </c>
      <c r="AF12">
        <f>IF(AA12,baseBetterNumbers(AE12*L12),AF11)</f>
        <v>0</v>
      </c>
      <c r="AG12">
        <f t="shared" si="12"/>
        <v>4</v>
      </c>
      <c r="AH12">
        <f>IF(AA12,baseBetterNumbers(AG12*N12),AH11)</f>
        <v>0</v>
      </c>
      <c r="AJ12">
        <f>Numbers!MG12</f>
        <v>2</v>
      </c>
      <c r="AK12">
        <f>Numbers!MH12</f>
        <v>1</v>
      </c>
      <c r="AL12">
        <f t="shared" si="13"/>
        <v>1</v>
      </c>
      <c r="AM12">
        <f>IF(AK12,baseBetterNumbers(AL12*L12),AM11)</f>
        <v>2350</v>
      </c>
      <c r="AO12">
        <f>Numbers!DN12</f>
        <v>10</v>
      </c>
      <c r="AP12">
        <f>Numbers!DO12</f>
        <v>1</v>
      </c>
      <c r="AQ12">
        <f t="shared" si="14"/>
        <v>0.5</v>
      </c>
      <c r="AR12">
        <f>IF(AP12,baseBetterNumbers(AQ12*L12),AR11)</f>
        <v>1180</v>
      </c>
      <c r="AT12">
        <f>Numbers!EE12</f>
        <v>10</v>
      </c>
      <c r="AU12">
        <f>Numbers!EF12</f>
        <v>1</v>
      </c>
      <c r="AV12">
        <f t="shared" si="15"/>
        <v>0.5</v>
      </c>
      <c r="AW12">
        <f>IF(AU12,baseBetterNumbers(AV12*L12),AW11)</f>
        <v>1180</v>
      </c>
      <c r="AY12">
        <f>Numbers!EY12</f>
        <v>10</v>
      </c>
      <c r="AZ12">
        <f>Numbers!EZ12</f>
        <v>1</v>
      </c>
      <c r="BA12">
        <f t="shared" si="16"/>
        <v>0.5</v>
      </c>
      <c r="BB12">
        <f>IF(AZ12,baseBetterNumbers(BA12*L12),BB11)</f>
        <v>1180</v>
      </c>
      <c r="BD12">
        <f>Numbers!FP12</f>
        <v>10</v>
      </c>
      <c r="BE12">
        <f>Numbers!FQ12</f>
        <v>1</v>
      </c>
      <c r="BF12">
        <f t="shared" si="17"/>
        <v>0.5</v>
      </c>
      <c r="BG12">
        <f>IF(BE12,baseBetterNumbers(BF12*L12),BG11)</f>
        <v>1180</v>
      </c>
      <c r="BI12">
        <f>Numbers!GJ12</f>
        <v>4</v>
      </c>
      <c r="BJ12">
        <f>Numbers!GK12</f>
        <v>1</v>
      </c>
      <c r="BK12">
        <f t="shared" si="18"/>
        <v>0.5</v>
      </c>
      <c r="BL12">
        <f>IF(BJ12,baseBetterNumbers(BK12*L12),BL11)</f>
        <v>1180</v>
      </c>
      <c r="BN12">
        <f>Numbers!HA12</f>
        <v>4</v>
      </c>
      <c r="BO12">
        <f>Numbers!HB12</f>
        <v>1</v>
      </c>
      <c r="BP12">
        <f t="shared" si="19"/>
        <v>0.5</v>
      </c>
      <c r="BQ12">
        <f>IF(BO12,baseBetterNumbers(BP12*L12),BQ11)</f>
        <v>1180</v>
      </c>
      <c r="BS12">
        <f>Numbers!HU12</f>
        <v>10</v>
      </c>
      <c r="BT12">
        <f>Numbers!HV12</f>
        <v>1</v>
      </c>
      <c r="BU12">
        <f t="shared" si="20"/>
        <v>0.5</v>
      </c>
      <c r="BV12">
        <f>IF(BT12,baseBetterNumbers(BU12*L12),BV11)</f>
        <v>1180</v>
      </c>
      <c r="BW12">
        <f t="shared" si="21"/>
        <v>2</v>
      </c>
      <c r="BX12">
        <f t="shared" si="22"/>
        <v>28</v>
      </c>
      <c r="BZ12">
        <f>Numbers!IK12</f>
        <v>6</v>
      </c>
      <c r="CA12">
        <f>Numbers!IL12</f>
        <v>1</v>
      </c>
      <c r="CB12">
        <f t="shared" si="23"/>
        <v>0.5</v>
      </c>
      <c r="CC12">
        <f>IF(CA12,baseBetterNumbers(CB12*L12),CC11)</f>
        <v>1180</v>
      </c>
      <c r="CE12">
        <f>Numbers!JJ12</f>
        <v>5</v>
      </c>
      <c r="CF12">
        <f>Numbers!JK12</f>
        <v>1</v>
      </c>
      <c r="CG12">
        <f t="shared" si="24"/>
        <v>0.5</v>
      </c>
      <c r="CH12">
        <f>IF(CF12,baseBetterNumbers(CG12*L12),CH11)</f>
        <v>1180</v>
      </c>
      <c r="CJ12">
        <f>Numbers!MV12</f>
        <v>8</v>
      </c>
      <c r="CK12">
        <f>Numbers!MW12</f>
        <v>1</v>
      </c>
      <c r="CL12">
        <f t="shared" si="25"/>
        <v>0.5</v>
      </c>
      <c r="CM12">
        <f>IF(CK12,baseBetterNumbers(CL12*L12),CM11)</f>
        <v>1180</v>
      </c>
      <c r="CO12">
        <f>Numbers!NK12</f>
        <v>9</v>
      </c>
      <c r="CP12">
        <f>Numbers!NL12</f>
        <v>1</v>
      </c>
      <c r="CQ12">
        <f t="shared" si="26"/>
        <v>0.5</v>
      </c>
      <c r="CR12">
        <f>IF(CP12,baseBetterNumbers(CQ12*L12),CR11)</f>
        <v>1180</v>
      </c>
      <c r="CT12">
        <f>Numbers!OB12</f>
        <v>7</v>
      </c>
      <c r="CU12">
        <f>Numbers!OC12</f>
        <v>1</v>
      </c>
      <c r="CV12">
        <f t="shared" si="27"/>
        <v>0.5</v>
      </c>
      <c r="CW12">
        <f>IF(CU12,baseBetterNumbers(CV12*L12),CW11)</f>
        <v>1180</v>
      </c>
      <c r="CY12">
        <f>Numbers!OQ12</f>
        <v>7</v>
      </c>
      <c r="CZ12">
        <f>Numbers!OR12</f>
        <v>1</v>
      </c>
      <c r="DA12">
        <f t="shared" si="28"/>
        <v>0.5</v>
      </c>
      <c r="DB12">
        <f>IF(CZ12,baseBetterNumbers(DA12*L12),DB11)</f>
        <v>1180</v>
      </c>
      <c r="DD12">
        <f>Numbers!PV12</f>
        <v>2</v>
      </c>
      <c r="DE12">
        <f>Numbers!PW12</f>
        <v>1</v>
      </c>
      <c r="DF12">
        <f t="shared" si="29"/>
        <v>0.5</v>
      </c>
      <c r="DG12">
        <f>IF(DE12,baseBetterNumbers(DF12*L12),DG11)</f>
        <v>1180</v>
      </c>
      <c r="DH12">
        <v>5</v>
      </c>
      <c r="DI12">
        <f>IF(CZ12,DI11+DH12,DI11)</f>
        <v>25</v>
      </c>
      <c r="DJ12">
        <f>DJ11</f>
        <v>1</v>
      </c>
      <c r="DK12">
        <v>0</v>
      </c>
      <c r="DL12">
        <f>DL11</f>
        <v>0</v>
      </c>
    </row>
    <row r="13" spans="1:116">
      <c r="A13">
        <f>Numbers!A13</f>
        <v>11</v>
      </c>
      <c r="B13">
        <f>Numbers!B13</f>
        <v>1</v>
      </c>
      <c r="C13">
        <f t="shared" si="0"/>
        <v>2</v>
      </c>
      <c r="D13">
        <f>IF(B13,baseBetterNumbers(C13*L13),D12)</f>
        <v>5160</v>
      </c>
      <c r="F13">
        <f>Numbers!KN13</f>
        <v>11</v>
      </c>
      <c r="G13">
        <f>Numbers!KO13</f>
        <v>1</v>
      </c>
      <c r="H13">
        <f>Numbers!BD13</f>
        <v>4</v>
      </c>
      <c r="I13">
        <f t="shared" si="1"/>
        <v>12</v>
      </c>
      <c r="J13">
        <f t="shared" si="2"/>
        <v>0.7</v>
      </c>
      <c r="K13">
        <f t="shared" si="3"/>
        <v>1.1000000000000001</v>
      </c>
      <c r="L13">
        <f>IF(G13,baseBetterNumbers(L12*K13),L12)</f>
        <v>2580</v>
      </c>
      <c r="M13">
        <f t="shared" si="4"/>
        <v>1.1000000000000001</v>
      </c>
      <c r="N13">
        <f>IF(G13,baseBetterNumbers(N12*M13),N12)</f>
        <v>131</v>
      </c>
      <c r="P13">
        <f>Numbers!LC13</f>
        <v>4</v>
      </c>
      <c r="Q13">
        <f>Numbers!LD13</f>
        <v>1</v>
      </c>
      <c r="R13">
        <f>Numbers!BF13</f>
        <v>2</v>
      </c>
      <c r="S13">
        <f t="shared" si="5"/>
        <v>5</v>
      </c>
      <c r="T13">
        <f t="shared" si="6"/>
        <v>10</v>
      </c>
      <c r="U13">
        <f t="shared" si="7"/>
        <v>1.2</v>
      </c>
      <c r="V13">
        <f>IF(Q13,baseBetterNumbers(U13*L13),V12)</f>
        <v>3100</v>
      </c>
      <c r="W13">
        <f t="shared" si="8"/>
        <v>0.2</v>
      </c>
      <c r="X13">
        <f>IF(Q13,baseBetterNumbers(W13*N13),X12)</f>
        <v>26</v>
      </c>
      <c r="Z13">
        <f>Numbers!LR13</f>
        <v>0</v>
      </c>
      <c r="AA13">
        <f>Numbers!LS13</f>
        <v>0</v>
      </c>
      <c r="AB13">
        <f t="shared" si="9"/>
        <v>10</v>
      </c>
      <c r="AC13">
        <f>Numbers!BH13</f>
        <v>0</v>
      </c>
      <c r="AD13">
        <f t="shared" si="10"/>
        <v>0.4</v>
      </c>
      <c r="AE13">
        <f t="shared" si="11"/>
        <v>2</v>
      </c>
      <c r="AF13">
        <f>IF(AA13,baseBetterNumbers(AE13*L13),AF12)</f>
        <v>0</v>
      </c>
      <c r="AG13">
        <f t="shared" si="12"/>
        <v>4</v>
      </c>
      <c r="AH13">
        <f>IF(AA13,baseBetterNumbers(AG13*N13),AH12)</f>
        <v>0</v>
      </c>
      <c r="AJ13">
        <f>Numbers!MG13</f>
        <v>3</v>
      </c>
      <c r="AK13">
        <f>Numbers!MH13</f>
        <v>1</v>
      </c>
      <c r="AL13">
        <f t="shared" si="13"/>
        <v>1</v>
      </c>
      <c r="AM13">
        <f>IF(AK13,baseBetterNumbers(AL13*L13),AM12)</f>
        <v>2580</v>
      </c>
      <c r="AO13">
        <f>Numbers!DN13</f>
        <v>11</v>
      </c>
      <c r="AP13">
        <f>Numbers!DO13</f>
        <v>1</v>
      </c>
      <c r="AQ13">
        <f t="shared" si="14"/>
        <v>0.5</v>
      </c>
      <c r="AR13">
        <f>IF(AP13,baseBetterNumbers(AQ13*L13),AR12)</f>
        <v>1290</v>
      </c>
      <c r="AT13">
        <f>Numbers!EE13</f>
        <v>11</v>
      </c>
      <c r="AU13">
        <f>Numbers!EF13</f>
        <v>1</v>
      </c>
      <c r="AV13">
        <f t="shared" si="15"/>
        <v>0.5</v>
      </c>
      <c r="AW13">
        <f>IF(AU13,baseBetterNumbers(AV13*L13),AW12)</f>
        <v>1290</v>
      </c>
      <c r="AY13">
        <f>Numbers!EY13</f>
        <v>11</v>
      </c>
      <c r="AZ13">
        <f>Numbers!EZ13</f>
        <v>1</v>
      </c>
      <c r="BA13">
        <f t="shared" si="16"/>
        <v>0.5</v>
      </c>
      <c r="BB13">
        <f>IF(AZ13,baseBetterNumbers(BA13*L13),BB12)</f>
        <v>1290</v>
      </c>
      <c r="BD13">
        <f>Numbers!FP13</f>
        <v>11</v>
      </c>
      <c r="BE13">
        <f>Numbers!FQ13</f>
        <v>1</v>
      </c>
      <c r="BF13">
        <f t="shared" si="17"/>
        <v>0.5</v>
      </c>
      <c r="BG13">
        <f>IF(BE13,baseBetterNumbers(BF13*L13),BG12)</f>
        <v>1290</v>
      </c>
      <c r="BI13">
        <f>Numbers!GJ13</f>
        <v>5</v>
      </c>
      <c r="BJ13">
        <f>Numbers!GK13</f>
        <v>1</v>
      </c>
      <c r="BK13">
        <f t="shared" si="18"/>
        <v>0.5</v>
      </c>
      <c r="BL13">
        <f>IF(BJ13,baseBetterNumbers(BK13*L13),BL12)</f>
        <v>1290</v>
      </c>
      <c r="BN13">
        <f>Numbers!HA13</f>
        <v>5</v>
      </c>
      <c r="BO13">
        <f>Numbers!HB13</f>
        <v>1</v>
      </c>
      <c r="BP13">
        <f t="shared" si="19"/>
        <v>0.5</v>
      </c>
      <c r="BQ13">
        <f>IF(BO13,baseBetterNumbers(BP13*L13),BQ12)</f>
        <v>1290</v>
      </c>
      <c r="BS13">
        <f>Numbers!HU13</f>
        <v>11</v>
      </c>
      <c r="BT13">
        <f>Numbers!HV13</f>
        <v>1</v>
      </c>
      <c r="BU13">
        <f t="shared" si="20"/>
        <v>0.5</v>
      </c>
      <c r="BV13">
        <f>IF(BT13,baseBetterNumbers(BU13*L13),BV12)</f>
        <v>1290</v>
      </c>
      <c r="BW13">
        <f t="shared" si="21"/>
        <v>2</v>
      </c>
      <c r="BX13">
        <f t="shared" si="22"/>
        <v>30</v>
      </c>
      <c r="BZ13">
        <f>Numbers!IK13</f>
        <v>7</v>
      </c>
      <c r="CA13">
        <f>Numbers!IL13</f>
        <v>1</v>
      </c>
      <c r="CB13">
        <f t="shared" si="23"/>
        <v>0.5</v>
      </c>
      <c r="CC13">
        <f>IF(CA13,baseBetterNumbers(CB13*L13),CC12)</f>
        <v>1290</v>
      </c>
      <c r="CE13">
        <f>Numbers!JJ13</f>
        <v>6</v>
      </c>
      <c r="CF13">
        <f>Numbers!JK13</f>
        <v>1</v>
      </c>
      <c r="CG13">
        <f t="shared" si="24"/>
        <v>0.5</v>
      </c>
      <c r="CH13">
        <f>IF(CF13,baseBetterNumbers(CG13*L13),CH12)</f>
        <v>1290</v>
      </c>
      <c r="CJ13">
        <f>Numbers!MV13</f>
        <v>9</v>
      </c>
      <c r="CK13">
        <f>Numbers!MW13</f>
        <v>1</v>
      </c>
      <c r="CL13">
        <f t="shared" si="25"/>
        <v>0.5</v>
      </c>
      <c r="CM13">
        <f>IF(CK13,baseBetterNumbers(CL13*L13),CM12)</f>
        <v>1290</v>
      </c>
      <c r="CO13">
        <f>Numbers!NK13</f>
        <v>10</v>
      </c>
      <c r="CP13">
        <f>Numbers!NL13</f>
        <v>1</v>
      </c>
      <c r="CQ13">
        <f t="shared" si="26"/>
        <v>0.5</v>
      </c>
      <c r="CR13">
        <f>IF(CP13,baseBetterNumbers(CQ13*L13),CR12)</f>
        <v>1290</v>
      </c>
      <c r="CT13">
        <f>Numbers!OB13</f>
        <v>8</v>
      </c>
      <c r="CU13">
        <f>Numbers!OC13</f>
        <v>1</v>
      </c>
      <c r="CV13">
        <f t="shared" si="27"/>
        <v>0.5</v>
      </c>
      <c r="CW13">
        <f>IF(CU13,baseBetterNumbers(CV13*L13),CW12)</f>
        <v>1290</v>
      </c>
      <c r="CY13">
        <f>Numbers!OQ13</f>
        <v>8</v>
      </c>
      <c r="CZ13">
        <f>Numbers!OR13</f>
        <v>1</v>
      </c>
      <c r="DA13">
        <f t="shared" si="28"/>
        <v>0.5</v>
      </c>
      <c r="DB13">
        <f>IF(CZ13,baseBetterNumbers(DA13*L13),DB12)</f>
        <v>1290</v>
      </c>
      <c r="DD13">
        <f>Numbers!PV13</f>
        <v>3</v>
      </c>
      <c r="DE13">
        <f>Numbers!PW13</f>
        <v>1</v>
      </c>
      <c r="DF13">
        <f t="shared" si="29"/>
        <v>0.5</v>
      </c>
      <c r="DG13">
        <f>IF(DE13,baseBetterNumbers(DF13*L13),DG12)</f>
        <v>1290</v>
      </c>
      <c r="DH13">
        <f>DH12</f>
        <v>5</v>
      </c>
      <c r="DI13">
        <f t="shared" ref="DI13:DI17" si="30">IF(CZ13,DI12+DH13,DI12)</f>
        <v>30</v>
      </c>
      <c r="DJ13">
        <f t="shared" ref="DJ13:DJ17" si="31">DJ12</f>
        <v>1</v>
      </c>
      <c r="DK13">
        <v>1</v>
      </c>
      <c r="DL13">
        <f t="shared" ref="DL13:DL17" si="32">DL12</f>
        <v>0</v>
      </c>
    </row>
    <row r="14" spans="1:116">
      <c r="A14">
        <f>Numbers!A14</f>
        <v>12</v>
      </c>
      <c r="B14">
        <f>Numbers!B14</f>
        <v>1</v>
      </c>
      <c r="C14">
        <f t="shared" si="0"/>
        <v>2</v>
      </c>
      <c r="D14">
        <f>IF(B14,baseBetterNumbers(C14*L14),D13)</f>
        <v>5680</v>
      </c>
      <c r="F14">
        <f>Numbers!KN14</f>
        <v>12</v>
      </c>
      <c r="G14">
        <f>Numbers!KO14</f>
        <v>1</v>
      </c>
      <c r="H14">
        <f>Numbers!BD14</f>
        <v>4</v>
      </c>
      <c r="I14">
        <f t="shared" si="1"/>
        <v>12</v>
      </c>
      <c r="J14">
        <f t="shared" si="2"/>
        <v>0.7</v>
      </c>
      <c r="K14">
        <f t="shared" si="3"/>
        <v>1.1000000000000001</v>
      </c>
      <c r="L14">
        <f>IF(G14,baseBetterNumbers(L13*K14),L13)</f>
        <v>2840</v>
      </c>
      <c r="M14">
        <f t="shared" si="4"/>
        <v>1.1000000000000001</v>
      </c>
      <c r="N14">
        <f>IF(G14,baseBetterNumbers(N13*M14),N13)</f>
        <v>144</v>
      </c>
      <c r="P14">
        <f>Numbers!LC14</f>
        <v>5</v>
      </c>
      <c r="Q14">
        <f>Numbers!LD14</f>
        <v>1</v>
      </c>
      <c r="R14">
        <f>Numbers!BF14</f>
        <v>2</v>
      </c>
      <c r="S14">
        <f t="shared" si="5"/>
        <v>5</v>
      </c>
      <c r="T14">
        <f t="shared" si="6"/>
        <v>10</v>
      </c>
      <c r="U14">
        <f t="shared" si="7"/>
        <v>1.2</v>
      </c>
      <c r="V14">
        <f>IF(Q14,baseBetterNumbers(U14*L14),V13)</f>
        <v>3410</v>
      </c>
      <c r="W14">
        <f t="shared" si="8"/>
        <v>0.2</v>
      </c>
      <c r="X14">
        <f>IF(Q14,baseBetterNumbers(W14*N14),X13)</f>
        <v>29</v>
      </c>
      <c r="Z14">
        <f>Numbers!LR14</f>
        <v>0</v>
      </c>
      <c r="AA14">
        <f>Numbers!LS14</f>
        <v>0</v>
      </c>
      <c r="AB14">
        <f t="shared" si="9"/>
        <v>10</v>
      </c>
      <c r="AC14">
        <f>Numbers!BH14</f>
        <v>0</v>
      </c>
      <c r="AD14">
        <f t="shared" si="10"/>
        <v>0.4</v>
      </c>
      <c r="AE14">
        <f t="shared" si="11"/>
        <v>2</v>
      </c>
      <c r="AF14">
        <f>IF(AA14,baseBetterNumbers(AE14*L14),AF13)</f>
        <v>0</v>
      </c>
      <c r="AG14">
        <f t="shared" si="12"/>
        <v>4</v>
      </c>
      <c r="AH14">
        <f>IF(AA14,baseBetterNumbers(AG14*N14),AH13)</f>
        <v>0</v>
      </c>
      <c r="AJ14">
        <f>Numbers!MG14</f>
        <v>4</v>
      </c>
      <c r="AK14">
        <f>Numbers!MH14</f>
        <v>1</v>
      </c>
      <c r="AL14">
        <f t="shared" si="13"/>
        <v>1</v>
      </c>
      <c r="AM14">
        <f>IF(AK14,baseBetterNumbers(AL14*L14),AM13)</f>
        <v>2840</v>
      </c>
      <c r="AO14">
        <f>Numbers!DN14</f>
        <v>12</v>
      </c>
      <c r="AP14">
        <f>Numbers!DO14</f>
        <v>1</v>
      </c>
      <c r="AQ14">
        <f t="shared" si="14"/>
        <v>0.5</v>
      </c>
      <c r="AR14">
        <f>IF(AP14,baseBetterNumbers(AQ14*L14),AR13)</f>
        <v>1420</v>
      </c>
      <c r="AT14">
        <f>Numbers!EE14</f>
        <v>12</v>
      </c>
      <c r="AU14">
        <f>Numbers!EF14</f>
        <v>1</v>
      </c>
      <c r="AV14">
        <f t="shared" si="15"/>
        <v>0.5</v>
      </c>
      <c r="AW14">
        <f>IF(AU14,baseBetterNumbers(AV14*L14),AW13)</f>
        <v>1420</v>
      </c>
      <c r="AY14">
        <f>Numbers!EY14</f>
        <v>12</v>
      </c>
      <c r="AZ14">
        <f>Numbers!EZ14</f>
        <v>1</v>
      </c>
      <c r="BA14">
        <f t="shared" si="16"/>
        <v>0.5</v>
      </c>
      <c r="BB14">
        <f>IF(AZ14,baseBetterNumbers(BA14*L14),BB13)</f>
        <v>1420</v>
      </c>
      <c r="BD14">
        <f>Numbers!FP14</f>
        <v>12</v>
      </c>
      <c r="BE14">
        <f>Numbers!FQ14</f>
        <v>1</v>
      </c>
      <c r="BF14">
        <f t="shared" si="17"/>
        <v>0.5</v>
      </c>
      <c r="BG14">
        <f>IF(BE14,baseBetterNumbers(BF14*L14),BG13)</f>
        <v>1420</v>
      </c>
      <c r="BI14">
        <f>Numbers!GJ14</f>
        <v>6</v>
      </c>
      <c r="BJ14">
        <f>Numbers!GK14</f>
        <v>1</v>
      </c>
      <c r="BK14">
        <f t="shared" si="18"/>
        <v>0.5</v>
      </c>
      <c r="BL14">
        <f>IF(BJ14,baseBetterNumbers(BK14*L14),BL13)</f>
        <v>1420</v>
      </c>
      <c r="BN14">
        <f>Numbers!HA14</f>
        <v>6</v>
      </c>
      <c r="BO14">
        <f>Numbers!HB14</f>
        <v>1</v>
      </c>
      <c r="BP14">
        <f t="shared" si="19"/>
        <v>0.5</v>
      </c>
      <c r="BQ14">
        <f>IF(BO14,baseBetterNumbers(BP14*L14),BQ13)</f>
        <v>1420</v>
      </c>
      <c r="BS14">
        <f>Numbers!HU14</f>
        <v>12</v>
      </c>
      <c r="BT14">
        <f>Numbers!HV14</f>
        <v>1</v>
      </c>
      <c r="BU14">
        <f t="shared" si="20"/>
        <v>0.5</v>
      </c>
      <c r="BV14">
        <f>IF(BT14,baseBetterNumbers(BU14*L14),BV13)</f>
        <v>1420</v>
      </c>
      <c r="BW14">
        <v>1</v>
      </c>
      <c r="BX14">
        <f t="shared" si="22"/>
        <v>31</v>
      </c>
      <c r="BZ14">
        <f>Numbers!IK14</f>
        <v>8</v>
      </c>
      <c r="CA14">
        <f>Numbers!IL14</f>
        <v>1</v>
      </c>
      <c r="CB14">
        <f t="shared" si="23"/>
        <v>0.5</v>
      </c>
      <c r="CC14">
        <f>IF(CA14,baseBetterNumbers(CB14*L14),CC13)</f>
        <v>1420</v>
      </c>
      <c r="CE14">
        <f>Numbers!JJ14</f>
        <v>7</v>
      </c>
      <c r="CF14">
        <f>Numbers!JK14</f>
        <v>1</v>
      </c>
      <c r="CG14">
        <f t="shared" si="24"/>
        <v>0.5</v>
      </c>
      <c r="CH14">
        <f>IF(CF14,baseBetterNumbers(CG14*L14),CH13)</f>
        <v>1420</v>
      </c>
      <c r="CJ14">
        <f>Numbers!MV14</f>
        <v>10</v>
      </c>
      <c r="CK14">
        <f>Numbers!MW14</f>
        <v>1</v>
      </c>
      <c r="CL14">
        <f t="shared" si="25"/>
        <v>0.5</v>
      </c>
      <c r="CM14">
        <f>IF(CK14,baseBetterNumbers(CL14*L14),CM13)</f>
        <v>1420</v>
      </c>
      <c r="CO14">
        <f>Numbers!NK14</f>
        <v>11</v>
      </c>
      <c r="CP14">
        <f>Numbers!NL14</f>
        <v>1</v>
      </c>
      <c r="CQ14">
        <f t="shared" si="26"/>
        <v>0.5</v>
      </c>
      <c r="CR14">
        <f>IF(CP14,baseBetterNumbers(CQ14*L14),CR13)</f>
        <v>1420</v>
      </c>
      <c r="CT14">
        <f>Numbers!OB14</f>
        <v>9</v>
      </c>
      <c r="CU14">
        <f>Numbers!OC14</f>
        <v>1</v>
      </c>
      <c r="CV14">
        <f t="shared" si="27"/>
        <v>0.5</v>
      </c>
      <c r="CW14">
        <f>IF(CU14,baseBetterNumbers(CV14*L14),CW13)</f>
        <v>1420</v>
      </c>
      <c r="CY14">
        <f>Numbers!OQ14</f>
        <v>9</v>
      </c>
      <c r="CZ14">
        <f>Numbers!OR14</f>
        <v>1</v>
      </c>
      <c r="DA14">
        <f t="shared" si="28"/>
        <v>0.5</v>
      </c>
      <c r="DB14">
        <f>IF(CZ14,baseBetterNumbers(DA14*L14),DB13)</f>
        <v>1420</v>
      </c>
      <c r="DD14">
        <f>Numbers!PV14</f>
        <v>4</v>
      </c>
      <c r="DE14">
        <f>Numbers!PW14</f>
        <v>1</v>
      </c>
      <c r="DF14">
        <f t="shared" si="29"/>
        <v>0.5</v>
      </c>
      <c r="DG14">
        <f>IF(DE14,baseBetterNumbers(DF14*L14),DG13)</f>
        <v>1420</v>
      </c>
      <c r="DH14">
        <f t="shared" ref="DH14:DH17" si="33">DH13</f>
        <v>5</v>
      </c>
      <c r="DI14">
        <f t="shared" si="30"/>
        <v>35</v>
      </c>
      <c r="DJ14">
        <f t="shared" si="31"/>
        <v>1</v>
      </c>
      <c r="DK14">
        <f t="shared" ref="DK14:DK17" si="34">DK13</f>
        <v>1</v>
      </c>
      <c r="DL14">
        <f t="shared" si="32"/>
        <v>0</v>
      </c>
    </row>
    <row r="15" spans="1:116">
      <c r="A15">
        <f>Numbers!A15</f>
        <v>13</v>
      </c>
      <c r="B15">
        <f>Numbers!B15</f>
        <v>1</v>
      </c>
      <c r="C15">
        <f t="shared" si="0"/>
        <v>2</v>
      </c>
      <c r="D15">
        <f>IF(B15,baseBetterNumbers(C15*L15),D14)</f>
        <v>6240</v>
      </c>
      <c r="F15">
        <f>Numbers!KN15</f>
        <v>13</v>
      </c>
      <c r="G15">
        <f>Numbers!KO15</f>
        <v>1</v>
      </c>
      <c r="H15">
        <f>Numbers!BD15</f>
        <v>4</v>
      </c>
      <c r="I15">
        <f t="shared" si="1"/>
        <v>12</v>
      </c>
      <c r="J15">
        <f t="shared" si="2"/>
        <v>0.7</v>
      </c>
      <c r="K15">
        <f t="shared" si="3"/>
        <v>1.1000000000000001</v>
      </c>
      <c r="L15">
        <f>IF(G15,baseBetterNumbers(L14*K15),L14)</f>
        <v>3120</v>
      </c>
      <c r="M15">
        <f t="shared" si="4"/>
        <v>1.1000000000000001</v>
      </c>
      <c r="N15">
        <f>IF(G15,baseBetterNumbers(N14*M15),N14)</f>
        <v>158</v>
      </c>
      <c r="P15">
        <f>Numbers!LC15</f>
        <v>6</v>
      </c>
      <c r="Q15">
        <f>Numbers!LD15</f>
        <v>1</v>
      </c>
      <c r="R15">
        <f>Numbers!BF15</f>
        <v>2</v>
      </c>
      <c r="S15">
        <f t="shared" si="5"/>
        <v>5</v>
      </c>
      <c r="T15">
        <f t="shared" si="6"/>
        <v>10</v>
      </c>
      <c r="U15">
        <f t="shared" si="7"/>
        <v>1.2</v>
      </c>
      <c r="V15">
        <f>IF(Q15,baseBetterNumbers(U15*L15),V14)</f>
        <v>3740</v>
      </c>
      <c r="W15">
        <f t="shared" si="8"/>
        <v>0.2</v>
      </c>
      <c r="X15">
        <f>IF(Q15,baseBetterNumbers(W15*N15),X14)</f>
        <v>32</v>
      </c>
      <c r="Z15">
        <f>Numbers!LR15</f>
        <v>0</v>
      </c>
      <c r="AA15">
        <f>Numbers!LS15</f>
        <v>0</v>
      </c>
      <c r="AB15">
        <f t="shared" si="9"/>
        <v>10</v>
      </c>
      <c r="AC15">
        <f>Numbers!BH15</f>
        <v>0</v>
      </c>
      <c r="AD15">
        <f t="shared" si="10"/>
        <v>0.4</v>
      </c>
      <c r="AE15">
        <f t="shared" si="11"/>
        <v>2</v>
      </c>
      <c r="AF15">
        <f>IF(AA15,baseBetterNumbers(AE15*L15),AF14)</f>
        <v>0</v>
      </c>
      <c r="AG15">
        <f t="shared" si="12"/>
        <v>4</v>
      </c>
      <c r="AH15">
        <f>IF(AA15,baseBetterNumbers(AG15*N15),AH14)</f>
        <v>0</v>
      </c>
      <c r="AJ15">
        <f>Numbers!MG15</f>
        <v>5</v>
      </c>
      <c r="AK15">
        <f>Numbers!MH15</f>
        <v>1</v>
      </c>
      <c r="AL15">
        <f t="shared" si="13"/>
        <v>1</v>
      </c>
      <c r="AM15">
        <f>IF(AK15,baseBetterNumbers(AL15*L15),AM14)</f>
        <v>3120</v>
      </c>
      <c r="AO15">
        <f>Numbers!DN15</f>
        <v>13</v>
      </c>
      <c r="AP15">
        <f>Numbers!DO15</f>
        <v>1</v>
      </c>
      <c r="AQ15">
        <f t="shared" si="14"/>
        <v>0.5</v>
      </c>
      <c r="AR15">
        <f>IF(AP15,baseBetterNumbers(AQ15*L15),AR14)</f>
        <v>1560</v>
      </c>
      <c r="AT15">
        <f>Numbers!EE15</f>
        <v>13</v>
      </c>
      <c r="AU15">
        <f>Numbers!EF15</f>
        <v>1</v>
      </c>
      <c r="AV15">
        <f t="shared" si="15"/>
        <v>0.5</v>
      </c>
      <c r="AW15">
        <f>IF(AU15,baseBetterNumbers(AV15*L15),AW14)</f>
        <v>1560</v>
      </c>
      <c r="AY15">
        <f>Numbers!EY15</f>
        <v>13</v>
      </c>
      <c r="AZ15">
        <f>Numbers!EZ15</f>
        <v>1</v>
      </c>
      <c r="BA15">
        <f t="shared" si="16"/>
        <v>0.5</v>
      </c>
      <c r="BB15">
        <f>IF(AZ15,baseBetterNumbers(BA15*L15),BB14)</f>
        <v>1560</v>
      </c>
      <c r="BD15">
        <f>Numbers!FP15</f>
        <v>13</v>
      </c>
      <c r="BE15">
        <f>Numbers!FQ15</f>
        <v>1</v>
      </c>
      <c r="BF15">
        <f t="shared" si="17"/>
        <v>0.5</v>
      </c>
      <c r="BG15">
        <f>IF(BE15,baseBetterNumbers(BF15*L15),BG14)</f>
        <v>1560</v>
      </c>
      <c r="BI15">
        <f>Numbers!GJ15</f>
        <v>7</v>
      </c>
      <c r="BJ15">
        <f>Numbers!GK15</f>
        <v>1</v>
      </c>
      <c r="BK15">
        <f t="shared" si="18"/>
        <v>0.5</v>
      </c>
      <c r="BL15">
        <f>IF(BJ15,baseBetterNumbers(BK15*L15),BL14)</f>
        <v>1560</v>
      </c>
      <c r="BN15">
        <f>Numbers!HA15</f>
        <v>7</v>
      </c>
      <c r="BO15">
        <f>Numbers!HB15</f>
        <v>1</v>
      </c>
      <c r="BP15">
        <f t="shared" si="19"/>
        <v>0.5</v>
      </c>
      <c r="BQ15">
        <f>IF(BO15,baseBetterNumbers(BP15*L15),BQ14)</f>
        <v>1560</v>
      </c>
      <c r="BS15">
        <f>Numbers!HU15</f>
        <v>13</v>
      </c>
      <c r="BT15">
        <f>Numbers!HV15</f>
        <v>1</v>
      </c>
      <c r="BU15">
        <f t="shared" si="20"/>
        <v>0.5</v>
      </c>
      <c r="BV15">
        <f>IF(BT15,baseBetterNumbers(BU15*L15),BV14)</f>
        <v>1560</v>
      </c>
      <c r="BW15">
        <f t="shared" si="21"/>
        <v>1</v>
      </c>
      <c r="BX15">
        <f t="shared" si="22"/>
        <v>32</v>
      </c>
      <c r="BZ15">
        <f>Numbers!IK15</f>
        <v>9</v>
      </c>
      <c r="CA15">
        <f>Numbers!IL15</f>
        <v>1</v>
      </c>
      <c r="CB15">
        <f t="shared" si="23"/>
        <v>0.5</v>
      </c>
      <c r="CC15">
        <f>IF(CA15,baseBetterNumbers(CB15*L15),CC14)</f>
        <v>1560</v>
      </c>
      <c r="CE15">
        <f>Numbers!JJ15</f>
        <v>8</v>
      </c>
      <c r="CF15">
        <f>Numbers!JK15</f>
        <v>1</v>
      </c>
      <c r="CG15">
        <f t="shared" si="24"/>
        <v>0.5</v>
      </c>
      <c r="CH15">
        <f>IF(CF15,baseBetterNumbers(CG15*L15),CH14)</f>
        <v>1560</v>
      </c>
      <c r="CJ15">
        <f>Numbers!MV15</f>
        <v>11</v>
      </c>
      <c r="CK15">
        <f>Numbers!MW15</f>
        <v>1</v>
      </c>
      <c r="CL15">
        <f t="shared" si="25"/>
        <v>0.5</v>
      </c>
      <c r="CM15">
        <f>IF(CK15,baseBetterNumbers(CL15*L15),CM14)</f>
        <v>1560</v>
      </c>
      <c r="CO15">
        <f>Numbers!NK15</f>
        <v>12</v>
      </c>
      <c r="CP15">
        <f>Numbers!NL15</f>
        <v>1</v>
      </c>
      <c r="CQ15">
        <f t="shared" si="26"/>
        <v>0.5</v>
      </c>
      <c r="CR15">
        <f>IF(CP15,baseBetterNumbers(CQ15*L15),CR14)</f>
        <v>1560</v>
      </c>
      <c r="CT15">
        <f>Numbers!OB15</f>
        <v>10</v>
      </c>
      <c r="CU15">
        <f>Numbers!OC15</f>
        <v>1</v>
      </c>
      <c r="CV15">
        <f t="shared" si="27"/>
        <v>0.5</v>
      </c>
      <c r="CW15">
        <f>IF(CU15,baseBetterNumbers(CV15*L15),CW14)</f>
        <v>1560</v>
      </c>
      <c r="CY15">
        <f>Numbers!OQ15</f>
        <v>10</v>
      </c>
      <c r="CZ15">
        <f>Numbers!OR15</f>
        <v>1</v>
      </c>
      <c r="DA15">
        <f t="shared" si="28"/>
        <v>0.5</v>
      </c>
      <c r="DB15">
        <f>IF(CZ15,baseBetterNumbers(DA15*L15),DB14)</f>
        <v>1560</v>
      </c>
      <c r="DD15">
        <f>Numbers!PV15</f>
        <v>5</v>
      </c>
      <c r="DE15">
        <f>Numbers!PW15</f>
        <v>1</v>
      </c>
      <c r="DF15">
        <f t="shared" si="29"/>
        <v>0.5</v>
      </c>
      <c r="DG15">
        <f>IF(DE15,baseBetterNumbers(DF15*L15),DG14)</f>
        <v>1560</v>
      </c>
      <c r="DH15">
        <f t="shared" si="33"/>
        <v>5</v>
      </c>
      <c r="DI15">
        <f t="shared" si="30"/>
        <v>40</v>
      </c>
      <c r="DJ15">
        <f t="shared" si="31"/>
        <v>1</v>
      </c>
      <c r="DK15">
        <f t="shared" si="34"/>
        <v>1</v>
      </c>
      <c r="DL15">
        <v>1</v>
      </c>
    </row>
    <row r="16" spans="1:116">
      <c r="A16">
        <f>Numbers!A16</f>
        <v>14</v>
      </c>
      <c r="B16">
        <f>Numbers!B16</f>
        <v>1</v>
      </c>
      <c r="C16">
        <f t="shared" si="0"/>
        <v>2</v>
      </c>
      <c r="D16">
        <f>IF(B16,baseBetterNumbers(C16*L16),D15)</f>
        <v>6860</v>
      </c>
      <c r="F16">
        <f>Numbers!KN16</f>
        <v>14</v>
      </c>
      <c r="G16">
        <f>Numbers!KO16</f>
        <v>1</v>
      </c>
      <c r="H16">
        <f>Numbers!BD16</f>
        <v>4</v>
      </c>
      <c r="I16">
        <f t="shared" si="1"/>
        <v>12</v>
      </c>
      <c r="J16">
        <f t="shared" si="2"/>
        <v>0.7</v>
      </c>
      <c r="K16">
        <f t="shared" si="3"/>
        <v>1.1000000000000001</v>
      </c>
      <c r="L16">
        <f>IF(G16,baseBetterNumbers(L15*K16),L15)</f>
        <v>3430</v>
      </c>
      <c r="M16">
        <f t="shared" si="4"/>
        <v>1.1000000000000001</v>
      </c>
      <c r="N16">
        <f>IF(G16,baseBetterNumbers(N15*M16),N15)</f>
        <v>174</v>
      </c>
      <c r="P16">
        <f>Numbers!LC16</f>
        <v>7</v>
      </c>
      <c r="Q16">
        <f>Numbers!LD16</f>
        <v>1</v>
      </c>
      <c r="R16">
        <f>Numbers!BF16</f>
        <v>2</v>
      </c>
      <c r="S16">
        <f t="shared" si="5"/>
        <v>5</v>
      </c>
      <c r="T16">
        <f t="shared" si="6"/>
        <v>10</v>
      </c>
      <c r="U16">
        <f t="shared" si="7"/>
        <v>1.2</v>
      </c>
      <c r="V16">
        <f>IF(Q16,baseBetterNumbers(U16*L16),V15)</f>
        <v>4120</v>
      </c>
      <c r="W16">
        <f t="shared" si="8"/>
        <v>0.2</v>
      </c>
      <c r="X16">
        <f>IF(Q16,baseBetterNumbers(W16*N16),X15)</f>
        <v>35</v>
      </c>
      <c r="Z16">
        <f>Numbers!LR16</f>
        <v>1</v>
      </c>
      <c r="AA16">
        <f>Numbers!LS16</f>
        <v>1</v>
      </c>
      <c r="AB16">
        <f t="shared" si="9"/>
        <v>10</v>
      </c>
      <c r="AC16">
        <f>Numbers!BH16</f>
        <v>1</v>
      </c>
      <c r="AD16">
        <f t="shared" si="10"/>
        <v>0.4</v>
      </c>
      <c r="AE16">
        <f t="shared" si="11"/>
        <v>2</v>
      </c>
      <c r="AF16">
        <f>IF(AA16,baseBetterNumbers(AE16*L16),AF15)</f>
        <v>6860</v>
      </c>
      <c r="AG16">
        <f t="shared" si="12"/>
        <v>4</v>
      </c>
      <c r="AH16">
        <f>IF(AA16,baseBetterNumbers(AG16*N16),AH15)</f>
        <v>696</v>
      </c>
      <c r="AJ16">
        <f>Numbers!MG16</f>
        <v>6</v>
      </c>
      <c r="AK16">
        <f>Numbers!MH16</f>
        <v>1</v>
      </c>
      <c r="AL16">
        <f t="shared" si="13"/>
        <v>1</v>
      </c>
      <c r="AM16">
        <f>IF(AK16,baseBetterNumbers(AL16*L16),AM15)</f>
        <v>3430</v>
      </c>
      <c r="AO16">
        <f>Numbers!DN16</f>
        <v>14</v>
      </c>
      <c r="AP16">
        <f>Numbers!DO16</f>
        <v>1</v>
      </c>
      <c r="AQ16">
        <f t="shared" si="14"/>
        <v>0.5</v>
      </c>
      <c r="AR16">
        <f>IF(AP16,baseBetterNumbers(AQ16*L16),AR15)</f>
        <v>1720</v>
      </c>
      <c r="AT16">
        <f>Numbers!EE16</f>
        <v>14</v>
      </c>
      <c r="AU16">
        <f>Numbers!EF16</f>
        <v>1</v>
      </c>
      <c r="AV16">
        <f t="shared" si="15"/>
        <v>0.5</v>
      </c>
      <c r="AW16">
        <f>IF(AU16,baseBetterNumbers(AV16*L16),AW15)</f>
        <v>1720</v>
      </c>
      <c r="AY16">
        <f>Numbers!EY16</f>
        <v>14</v>
      </c>
      <c r="AZ16">
        <f>Numbers!EZ16</f>
        <v>1</v>
      </c>
      <c r="BA16">
        <f t="shared" si="16"/>
        <v>0.5</v>
      </c>
      <c r="BB16">
        <f>IF(AZ16,baseBetterNumbers(BA16*L16),BB15)</f>
        <v>1720</v>
      </c>
      <c r="BD16">
        <f>Numbers!FP16</f>
        <v>14</v>
      </c>
      <c r="BE16">
        <f>Numbers!FQ16</f>
        <v>1</v>
      </c>
      <c r="BF16">
        <f t="shared" si="17"/>
        <v>0.5</v>
      </c>
      <c r="BG16">
        <f>IF(BE16,baseBetterNumbers(BF16*L16),BG15)</f>
        <v>1720</v>
      </c>
      <c r="BI16">
        <f>Numbers!GJ16</f>
        <v>8</v>
      </c>
      <c r="BJ16">
        <f>Numbers!GK16</f>
        <v>1</v>
      </c>
      <c r="BK16">
        <f t="shared" si="18"/>
        <v>0.5</v>
      </c>
      <c r="BL16">
        <f>IF(BJ16,baseBetterNumbers(BK16*L16),BL15)</f>
        <v>1720</v>
      </c>
      <c r="BN16">
        <f>Numbers!HA16</f>
        <v>8</v>
      </c>
      <c r="BO16">
        <f>Numbers!HB16</f>
        <v>1</v>
      </c>
      <c r="BP16">
        <f t="shared" si="19"/>
        <v>0.5</v>
      </c>
      <c r="BQ16">
        <f>IF(BO16,baseBetterNumbers(BP16*L16),BQ15)</f>
        <v>1720</v>
      </c>
      <c r="BS16">
        <f>Numbers!HU16</f>
        <v>14</v>
      </c>
      <c r="BT16">
        <f>Numbers!HV16</f>
        <v>1</v>
      </c>
      <c r="BU16">
        <f t="shared" si="20"/>
        <v>0.5</v>
      </c>
      <c r="BV16">
        <f>IF(BT16,baseBetterNumbers(BU16*L16),BV15)</f>
        <v>1720</v>
      </c>
      <c r="BW16">
        <f t="shared" si="21"/>
        <v>1</v>
      </c>
      <c r="BX16">
        <f t="shared" si="22"/>
        <v>33</v>
      </c>
      <c r="BZ16">
        <f>Numbers!IK16</f>
        <v>10</v>
      </c>
      <c r="CA16">
        <f>Numbers!IL16</f>
        <v>1</v>
      </c>
      <c r="CB16">
        <f t="shared" si="23"/>
        <v>0.5</v>
      </c>
      <c r="CC16">
        <f>IF(CA16,baseBetterNumbers(CB16*L16),CC15)</f>
        <v>1720</v>
      </c>
      <c r="CE16">
        <f>Numbers!JJ16</f>
        <v>9</v>
      </c>
      <c r="CF16">
        <f>Numbers!JK16</f>
        <v>1</v>
      </c>
      <c r="CG16">
        <f t="shared" si="24"/>
        <v>0.5</v>
      </c>
      <c r="CH16">
        <f>IF(CF16,baseBetterNumbers(CG16*L16),CH15)</f>
        <v>1720</v>
      </c>
      <c r="CJ16">
        <f>Numbers!MV16</f>
        <v>12</v>
      </c>
      <c r="CK16">
        <f>Numbers!MW16</f>
        <v>1</v>
      </c>
      <c r="CL16">
        <f t="shared" si="25"/>
        <v>0.5</v>
      </c>
      <c r="CM16">
        <f>IF(CK16,baseBetterNumbers(CL16*L16),CM15)</f>
        <v>1720</v>
      </c>
      <c r="CO16">
        <f>Numbers!NK16</f>
        <v>13</v>
      </c>
      <c r="CP16">
        <f>Numbers!NL16</f>
        <v>1</v>
      </c>
      <c r="CQ16">
        <f t="shared" si="26"/>
        <v>0.5</v>
      </c>
      <c r="CR16">
        <f>IF(CP16,baseBetterNumbers(CQ16*L16),CR15)</f>
        <v>1720</v>
      </c>
      <c r="CT16">
        <f>Numbers!OB16</f>
        <v>11</v>
      </c>
      <c r="CU16">
        <f>Numbers!OC16</f>
        <v>1</v>
      </c>
      <c r="CV16">
        <f t="shared" si="27"/>
        <v>0.5</v>
      </c>
      <c r="CW16">
        <f>IF(CU16,baseBetterNumbers(CV16*L16),CW15)</f>
        <v>1720</v>
      </c>
      <c r="CY16">
        <f>Numbers!OQ16</f>
        <v>11</v>
      </c>
      <c r="CZ16">
        <f>Numbers!OR16</f>
        <v>1</v>
      </c>
      <c r="DA16">
        <f t="shared" si="28"/>
        <v>0.5</v>
      </c>
      <c r="DB16">
        <f>IF(CZ16,baseBetterNumbers(DA16*L16),DB15)</f>
        <v>1720</v>
      </c>
      <c r="DD16">
        <f>Numbers!PV16</f>
        <v>6</v>
      </c>
      <c r="DE16">
        <f>Numbers!PW16</f>
        <v>1</v>
      </c>
      <c r="DF16">
        <f t="shared" si="29"/>
        <v>0.5</v>
      </c>
      <c r="DG16">
        <f>IF(DE16,baseBetterNumbers(DF16*L16),DG15)</f>
        <v>1720</v>
      </c>
      <c r="DH16">
        <f t="shared" si="33"/>
        <v>5</v>
      </c>
      <c r="DI16">
        <f t="shared" si="30"/>
        <v>45</v>
      </c>
      <c r="DJ16">
        <f t="shared" si="31"/>
        <v>1</v>
      </c>
      <c r="DK16">
        <f t="shared" si="34"/>
        <v>1</v>
      </c>
      <c r="DL16">
        <f t="shared" si="32"/>
        <v>1</v>
      </c>
    </row>
    <row r="17" spans="1:116">
      <c r="A17">
        <f>Numbers!A17</f>
        <v>15</v>
      </c>
      <c r="B17">
        <f>Numbers!B17</f>
        <v>1</v>
      </c>
      <c r="C17">
        <f t="shared" si="0"/>
        <v>2</v>
      </c>
      <c r="D17">
        <f>IF(B17,baseBetterNumbers(C17*L17),D16)</f>
        <v>7540</v>
      </c>
      <c r="F17">
        <f>Numbers!KN17</f>
        <v>15</v>
      </c>
      <c r="G17">
        <f>Numbers!KO17</f>
        <v>1</v>
      </c>
      <c r="H17">
        <f>Numbers!BD17</f>
        <v>4</v>
      </c>
      <c r="I17">
        <f t="shared" si="1"/>
        <v>12</v>
      </c>
      <c r="J17">
        <f t="shared" si="2"/>
        <v>0.7</v>
      </c>
      <c r="K17">
        <f t="shared" si="3"/>
        <v>1.1000000000000001</v>
      </c>
      <c r="L17">
        <f>IF(G17,baseBetterNumbers(L16*K17),L16)</f>
        <v>3770</v>
      </c>
      <c r="M17">
        <f t="shared" si="4"/>
        <v>1.1000000000000001</v>
      </c>
      <c r="N17">
        <f>IF(G17,baseBetterNumbers(N16*M17),N16)</f>
        <v>191</v>
      </c>
      <c r="P17">
        <f>Numbers!LC17</f>
        <v>8</v>
      </c>
      <c r="Q17">
        <f>Numbers!LD17</f>
        <v>1</v>
      </c>
      <c r="R17">
        <f>Numbers!BF17</f>
        <v>2</v>
      </c>
      <c r="S17">
        <f t="shared" si="5"/>
        <v>5</v>
      </c>
      <c r="T17">
        <f t="shared" si="6"/>
        <v>10</v>
      </c>
      <c r="U17">
        <f t="shared" si="7"/>
        <v>1.2</v>
      </c>
      <c r="V17">
        <f>IF(Q17,baseBetterNumbers(U17*L17),V16)</f>
        <v>4520</v>
      </c>
      <c r="W17">
        <f t="shared" si="8"/>
        <v>0.2</v>
      </c>
      <c r="X17">
        <f>IF(Q17,baseBetterNumbers(W17*N17),X16)</f>
        <v>38</v>
      </c>
      <c r="Z17">
        <f>Numbers!LR17</f>
        <v>2</v>
      </c>
      <c r="AA17">
        <f>Numbers!LS17</f>
        <v>1</v>
      </c>
      <c r="AB17">
        <f t="shared" si="9"/>
        <v>10</v>
      </c>
      <c r="AC17">
        <f>Numbers!BH17</f>
        <v>1</v>
      </c>
      <c r="AD17">
        <f t="shared" si="10"/>
        <v>0.4</v>
      </c>
      <c r="AE17">
        <f t="shared" si="11"/>
        <v>2</v>
      </c>
      <c r="AF17">
        <f>IF(AA17,baseBetterNumbers(AE17*L17),AF16)</f>
        <v>7540</v>
      </c>
      <c r="AG17">
        <f t="shared" si="12"/>
        <v>4</v>
      </c>
      <c r="AH17">
        <f>IF(AA17,baseBetterNumbers(AG17*N17),AH16)</f>
        <v>764</v>
      </c>
      <c r="AJ17">
        <f>Numbers!MG17</f>
        <v>7</v>
      </c>
      <c r="AK17">
        <f>Numbers!MH17</f>
        <v>1</v>
      </c>
      <c r="AL17">
        <f t="shared" si="13"/>
        <v>1</v>
      </c>
      <c r="AM17">
        <f>IF(AK17,baseBetterNumbers(AL17*L17),AM16)</f>
        <v>3770</v>
      </c>
      <c r="AO17">
        <f>Numbers!DN17</f>
        <v>15</v>
      </c>
      <c r="AP17">
        <f>Numbers!DO17</f>
        <v>1</v>
      </c>
      <c r="AQ17">
        <f t="shared" si="14"/>
        <v>0.5</v>
      </c>
      <c r="AR17">
        <f>IF(AP17,baseBetterNumbers(AQ17*L17),AR16)</f>
        <v>1880</v>
      </c>
      <c r="AT17">
        <f>Numbers!EE17</f>
        <v>15</v>
      </c>
      <c r="AU17">
        <f>Numbers!EF17</f>
        <v>1</v>
      </c>
      <c r="AV17">
        <f t="shared" si="15"/>
        <v>0.5</v>
      </c>
      <c r="AW17">
        <f>IF(AU17,baseBetterNumbers(AV17*L17),AW16)</f>
        <v>1880</v>
      </c>
      <c r="AY17">
        <f>Numbers!EY17</f>
        <v>15</v>
      </c>
      <c r="AZ17">
        <f>Numbers!EZ17</f>
        <v>1</v>
      </c>
      <c r="BA17">
        <f t="shared" si="16"/>
        <v>0.5</v>
      </c>
      <c r="BB17">
        <f>IF(AZ17,baseBetterNumbers(BA17*L17),BB16)</f>
        <v>1880</v>
      </c>
      <c r="BD17">
        <f>Numbers!FP17</f>
        <v>15</v>
      </c>
      <c r="BE17">
        <f>Numbers!FQ17</f>
        <v>1</v>
      </c>
      <c r="BF17">
        <f t="shared" si="17"/>
        <v>0.5</v>
      </c>
      <c r="BG17">
        <f>IF(BE17,baseBetterNumbers(BF17*L17),BG16)</f>
        <v>1880</v>
      </c>
      <c r="BI17">
        <f>Numbers!GJ17</f>
        <v>9</v>
      </c>
      <c r="BJ17">
        <f>Numbers!GK17</f>
        <v>1</v>
      </c>
      <c r="BK17">
        <f t="shared" si="18"/>
        <v>0.5</v>
      </c>
      <c r="BL17">
        <f>IF(BJ17,baseBetterNumbers(BK17*L17),BL16)</f>
        <v>1880</v>
      </c>
      <c r="BN17">
        <f>Numbers!HA17</f>
        <v>9</v>
      </c>
      <c r="BO17">
        <f>Numbers!HB17</f>
        <v>1</v>
      </c>
      <c r="BP17">
        <f t="shared" si="19"/>
        <v>0.5</v>
      </c>
      <c r="BQ17">
        <f>IF(BO17,baseBetterNumbers(BP17*L17),BQ16)</f>
        <v>1880</v>
      </c>
      <c r="BS17">
        <f>Numbers!HU17</f>
        <v>15</v>
      </c>
      <c r="BT17">
        <f>Numbers!HV17</f>
        <v>1</v>
      </c>
      <c r="BU17">
        <f t="shared" si="20"/>
        <v>0.5</v>
      </c>
      <c r="BV17">
        <f>IF(BT17,baseBetterNumbers(BU17*L17),BV16)</f>
        <v>1880</v>
      </c>
      <c r="BW17">
        <f t="shared" si="21"/>
        <v>1</v>
      </c>
      <c r="BX17">
        <f t="shared" si="22"/>
        <v>34</v>
      </c>
      <c r="BZ17">
        <f>Numbers!IK17</f>
        <v>11</v>
      </c>
      <c r="CA17">
        <f>Numbers!IL17</f>
        <v>1</v>
      </c>
      <c r="CB17">
        <f t="shared" si="23"/>
        <v>0.5</v>
      </c>
      <c r="CC17">
        <f>IF(CA17,baseBetterNumbers(CB17*L17),CC16)</f>
        <v>1880</v>
      </c>
      <c r="CE17">
        <f>Numbers!JJ17</f>
        <v>10</v>
      </c>
      <c r="CF17">
        <f>Numbers!JK17</f>
        <v>1</v>
      </c>
      <c r="CG17">
        <f t="shared" si="24"/>
        <v>0.5</v>
      </c>
      <c r="CH17">
        <f>IF(CF17,baseBetterNumbers(CG17*L17),CH16)</f>
        <v>1880</v>
      </c>
      <c r="CJ17">
        <f>Numbers!MV17</f>
        <v>13</v>
      </c>
      <c r="CK17">
        <f>Numbers!MW17</f>
        <v>1</v>
      </c>
      <c r="CL17">
        <f t="shared" si="25"/>
        <v>0.5</v>
      </c>
      <c r="CM17">
        <f>IF(CK17,baseBetterNumbers(CL17*L17),CM16)</f>
        <v>1880</v>
      </c>
      <c r="CO17">
        <f>Numbers!NK17</f>
        <v>14</v>
      </c>
      <c r="CP17">
        <f>Numbers!NL17</f>
        <v>1</v>
      </c>
      <c r="CQ17">
        <f t="shared" si="26"/>
        <v>0.5</v>
      </c>
      <c r="CR17">
        <f>IF(CP17,baseBetterNumbers(CQ17*L17),CR16)</f>
        <v>1880</v>
      </c>
      <c r="CT17">
        <f>Numbers!OB17</f>
        <v>12</v>
      </c>
      <c r="CU17">
        <f>Numbers!OC17</f>
        <v>1</v>
      </c>
      <c r="CV17">
        <f t="shared" si="27"/>
        <v>0.5</v>
      </c>
      <c r="CW17">
        <f>IF(CU17,baseBetterNumbers(CV17*L17),CW16)</f>
        <v>1880</v>
      </c>
      <c r="CY17">
        <f>Numbers!OQ17</f>
        <v>12</v>
      </c>
      <c r="CZ17">
        <f>Numbers!OR17</f>
        <v>1</v>
      </c>
      <c r="DA17">
        <f t="shared" si="28"/>
        <v>0.5</v>
      </c>
      <c r="DB17">
        <f>IF(CZ17,baseBetterNumbers(DA17*L17),DB16)</f>
        <v>1880</v>
      </c>
      <c r="DD17">
        <f>Numbers!PV17</f>
        <v>7</v>
      </c>
      <c r="DE17">
        <f>Numbers!PW17</f>
        <v>1</v>
      </c>
      <c r="DF17">
        <f t="shared" si="29"/>
        <v>0.5</v>
      </c>
      <c r="DG17">
        <f>IF(DE17,baseBetterNumbers(DF17*L17),DG16)</f>
        <v>1880</v>
      </c>
      <c r="DH17">
        <f t="shared" si="33"/>
        <v>5</v>
      </c>
      <c r="DI17">
        <f t="shared" si="30"/>
        <v>50</v>
      </c>
      <c r="DJ17">
        <f t="shared" si="31"/>
        <v>1</v>
      </c>
      <c r="DK17">
        <f t="shared" si="34"/>
        <v>1</v>
      </c>
      <c r="DL17">
        <f t="shared" si="32"/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K29"/>
  <sheetViews>
    <sheetView topLeftCell="AI1" workbookViewId="0">
      <selection activeCell="AS8" sqref="AS8"/>
    </sheetView>
  </sheetViews>
  <sheetFormatPr baseColWidth="10" defaultRowHeight="15" x14ac:dyDescent="0"/>
  <cols>
    <col min="7" max="7" width="6.83203125" customWidth="1"/>
    <col min="18" max="18" width="14.5" customWidth="1"/>
    <col min="36" max="36" width="14.5" customWidth="1"/>
    <col min="54" max="54" width="14.83203125" customWidth="1"/>
    <col min="63" max="63" width="15" customWidth="1"/>
  </cols>
  <sheetData>
    <row r="1" spans="2:63">
      <c r="B1" t="s">
        <v>140</v>
      </c>
      <c r="T1" t="s">
        <v>29</v>
      </c>
      <c r="AL1" t="s">
        <v>139</v>
      </c>
      <c r="BD1" t="s">
        <v>135</v>
      </c>
    </row>
    <row r="2" spans="2:63">
      <c r="B2" t="s">
        <v>26</v>
      </c>
      <c r="C2" t="s">
        <v>133</v>
      </c>
      <c r="D2" t="s">
        <v>141</v>
      </c>
      <c r="E2" t="s">
        <v>16</v>
      </c>
      <c r="F2" t="s">
        <v>16</v>
      </c>
      <c r="G2" t="s">
        <v>114</v>
      </c>
      <c r="H2" t="s">
        <v>511</v>
      </c>
      <c r="I2" t="s">
        <v>114</v>
      </c>
      <c r="J2" t="s">
        <v>512</v>
      </c>
      <c r="K2" t="s">
        <v>513</v>
      </c>
      <c r="L2" t="s">
        <v>449</v>
      </c>
      <c r="M2" t="s">
        <v>450</v>
      </c>
      <c r="N2" t="s">
        <v>454</v>
      </c>
      <c r="O2" s="68" t="s">
        <v>114</v>
      </c>
      <c r="P2" t="s">
        <v>451</v>
      </c>
      <c r="Q2" t="s">
        <v>114</v>
      </c>
      <c r="R2" t="s">
        <v>452</v>
      </c>
      <c r="T2" t="s">
        <v>26</v>
      </c>
      <c r="U2" t="s">
        <v>133</v>
      </c>
      <c r="V2" t="s">
        <v>141</v>
      </c>
      <c r="W2" t="s">
        <v>16</v>
      </c>
      <c r="X2" t="s">
        <v>16</v>
      </c>
      <c r="Y2" t="s">
        <v>114</v>
      </c>
      <c r="Z2" t="s">
        <v>511</v>
      </c>
      <c r="AA2" t="s">
        <v>114</v>
      </c>
      <c r="AB2" t="s">
        <v>512</v>
      </c>
      <c r="AC2" t="s">
        <v>513</v>
      </c>
      <c r="AD2" t="s">
        <v>449</v>
      </c>
      <c r="AE2" t="s">
        <v>450</v>
      </c>
      <c r="AF2" t="s">
        <v>454</v>
      </c>
      <c r="AG2" s="68" t="s">
        <v>114</v>
      </c>
      <c r="AH2" t="s">
        <v>451</v>
      </c>
      <c r="AI2" t="s">
        <v>114</v>
      </c>
      <c r="AJ2" t="s">
        <v>452</v>
      </c>
      <c r="AL2" t="s">
        <v>26</v>
      </c>
      <c r="AM2" t="s">
        <v>133</v>
      </c>
      <c r="AN2" t="s">
        <v>141</v>
      </c>
      <c r="AO2" s="73" t="s">
        <v>16</v>
      </c>
      <c r="AP2" s="73" t="s">
        <v>16</v>
      </c>
      <c r="AQ2" t="s">
        <v>114</v>
      </c>
      <c r="AR2" t="s">
        <v>511</v>
      </c>
      <c r="AS2" t="s">
        <v>114</v>
      </c>
      <c r="AT2" t="s">
        <v>512</v>
      </c>
      <c r="AU2" t="s">
        <v>513</v>
      </c>
      <c r="AV2" t="s">
        <v>449</v>
      </c>
      <c r="AW2" t="s">
        <v>450</v>
      </c>
      <c r="AX2" t="s">
        <v>454</v>
      </c>
      <c r="AY2" s="68" t="s">
        <v>114</v>
      </c>
      <c r="AZ2" t="s">
        <v>451</v>
      </c>
      <c r="BA2" t="s">
        <v>114</v>
      </c>
      <c r="BB2" t="s">
        <v>452</v>
      </c>
      <c r="BD2" t="s">
        <v>26</v>
      </c>
      <c r="BE2" t="s">
        <v>133</v>
      </c>
      <c r="BF2" t="s">
        <v>141</v>
      </c>
      <c r="BG2" t="s">
        <v>16</v>
      </c>
      <c r="BH2" t="s">
        <v>16</v>
      </c>
      <c r="BI2" t="s">
        <v>449</v>
      </c>
      <c r="BJ2" s="68" t="s">
        <v>114</v>
      </c>
      <c r="BK2" t="s">
        <v>452</v>
      </c>
    </row>
    <row r="3" spans="2:63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G3">
        <v>10</v>
      </c>
      <c r="H3">
        <v>30</v>
      </c>
      <c r="I3">
        <v>20</v>
      </c>
      <c r="J3">
        <v>50</v>
      </c>
      <c r="K3">
        <v>1</v>
      </c>
      <c r="L3">
        <v>4</v>
      </c>
      <c r="M3">
        <v>1</v>
      </c>
      <c r="N3">
        <v>5</v>
      </c>
      <c r="O3">
        <v>1.1000000000000001</v>
      </c>
      <c r="P3">
        <v>120</v>
      </c>
      <c r="Q3">
        <v>1.1000000000000001</v>
      </c>
      <c r="R3">
        <v>50</v>
      </c>
      <c r="T3">
        <v>1</v>
      </c>
      <c r="U3">
        <v>10000</v>
      </c>
      <c r="V3">
        <v>2</v>
      </c>
      <c r="W3" t="str">
        <f>secToTime(X3)</f>
        <v>0h 10m</v>
      </c>
      <c r="X3">
        <v>600</v>
      </c>
      <c r="Y3">
        <v>30</v>
      </c>
      <c r="Z3">
        <v>120</v>
      </c>
      <c r="AA3">
        <v>40</v>
      </c>
      <c r="AB3">
        <v>150</v>
      </c>
      <c r="AC3">
        <v>2</v>
      </c>
      <c r="AD3">
        <v>8</v>
      </c>
      <c r="AE3">
        <v>0.5</v>
      </c>
      <c r="AF3">
        <v>4</v>
      </c>
      <c r="AG3">
        <v>1.1000000000000001</v>
      </c>
      <c r="AH3">
        <v>50</v>
      </c>
      <c r="AI3">
        <v>1.1000000000000001</v>
      </c>
      <c r="AJ3">
        <v>150</v>
      </c>
      <c r="AL3">
        <v>1</v>
      </c>
      <c r="AM3">
        <v>5000</v>
      </c>
      <c r="AN3">
        <v>2</v>
      </c>
      <c r="AO3" s="73" t="s">
        <v>142</v>
      </c>
      <c r="AP3" s="73">
        <v>600</v>
      </c>
      <c r="AQ3">
        <v>100</v>
      </c>
      <c r="AR3">
        <v>600</v>
      </c>
      <c r="AS3">
        <v>100</v>
      </c>
      <c r="AT3">
        <v>500</v>
      </c>
      <c r="AU3">
        <v>3</v>
      </c>
      <c r="AV3">
        <v>3</v>
      </c>
      <c r="AW3">
        <v>10</v>
      </c>
      <c r="AX3">
        <v>3</v>
      </c>
      <c r="AY3">
        <v>1.1000000000000001</v>
      </c>
      <c r="AZ3">
        <v>1000</v>
      </c>
      <c r="BA3">
        <v>1.1000000000000001</v>
      </c>
      <c r="BB3">
        <v>10</v>
      </c>
      <c r="BD3">
        <v>1</v>
      </c>
      <c r="BE3">
        <v>500</v>
      </c>
      <c r="BF3">
        <v>2</v>
      </c>
      <c r="BG3" t="str">
        <f>secToTime(BH3)</f>
        <v>0h 10m</v>
      </c>
      <c r="BH3">
        <v>600</v>
      </c>
      <c r="BI3">
        <v>0.5</v>
      </c>
      <c r="BJ3">
        <v>1.2</v>
      </c>
      <c r="BK3">
        <v>80</v>
      </c>
    </row>
    <row r="4" spans="2:63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G4">
        <f>G3</f>
        <v>10</v>
      </c>
      <c r="H4">
        <f>H3+G4</f>
        <v>40</v>
      </c>
      <c r="I4">
        <f>I3</f>
        <v>20</v>
      </c>
      <c r="J4">
        <f>J3+I4</f>
        <v>70</v>
      </c>
      <c r="K4">
        <f>K3</f>
        <v>1</v>
      </c>
      <c r="L4">
        <f>L3</f>
        <v>4</v>
      </c>
      <c r="M4">
        <f>M3</f>
        <v>1</v>
      </c>
      <c r="N4">
        <f>N3</f>
        <v>5</v>
      </c>
      <c r="O4">
        <f>O3</f>
        <v>1.1000000000000001</v>
      </c>
      <c r="P4">
        <f>baseBetterNumbers(P3*O4)</f>
        <v>132</v>
      </c>
      <c r="Q4">
        <f>Q3</f>
        <v>1.1000000000000001</v>
      </c>
      <c r="R4">
        <f>baseBetterNumbers(R3*Q4)</f>
        <v>55</v>
      </c>
      <c r="T4">
        <v>2</v>
      </c>
      <c r="U4">
        <v>12000</v>
      </c>
      <c r="V4">
        <v>3</v>
      </c>
      <c r="W4" t="str">
        <f t="shared" ref="W4:W19" si="1">secToTime(X4)</f>
        <v>0h 20m</v>
      </c>
      <c r="X4">
        <v>1200</v>
      </c>
      <c r="Y4">
        <f>Y3</f>
        <v>30</v>
      </c>
      <c r="Z4">
        <f>Z3+Y4</f>
        <v>150</v>
      </c>
      <c r="AA4">
        <f>AA3</f>
        <v>40</v>
      </c>
      <c r="AB4">
        <f>AB3+AA4</f>
        <v>190</v>
      </c>
      <c r="AC4">
        <f>AC3</f>
        <v>2</v>
      </c>
      <c r="AD4">
        <f>AD3</f>
        <v>8</v>
      </c>
      <c r="AE4">
        <f>AE3</f>
        <v>0.5</v>
      </c>
      <c r="AF4">
        <f>AF3</f>
        <v>4</v>
      </c>
      <c r="AG4">
        <f>AG3</f>
        <v>1.1000000000000001</v>
      </c>
      <c r="AH4">
        <f>baseBetterNumbers(AH3*AG4)</f>
        <v>55</v>
      </c>
      <c r="AI4">
        <f>AI3</f>
        <v>1.1000000000000001</v>
      </c>
      <c r="AJ4">
        <f>baseBetterNumbers(AJ3*AI4)</f>
        <v>165</v>
      </c>
      <c r="AL4">
        <v>2</v>
      </c>
      <c r="AM4">
        <v>10000</v>
      </c>
      <c r="AN4">
        <v>3</v>
      </c>
      <c r="AO4" s="73" t="s">
        <v>143</v>
      </c>
      <c r="AP4" s="73">
        <v>1200</v>
      </c>
      <c r="AQ4">
        <f>AQ3</f>
        <v>100</v>
      </c>
      <c r="AR4">
        <f>AR3+AQ4</f>
        <v>700</v>
      </c>
      <c r="AS4">
        <f>AS3</f>
        <v>100</v>
      </c>
      <c r="AT4">
        <f>AT3+AS4</f>
        <v>600</v>
      </c>
      <c r="AU4">
        <f>AU3</f>
        <v>3</v>
      </c>
      <c r="AV4">
        <f>AV3</f>
        <v>3</v>
      </c>
      <c r="AW4">
        <f>AW3</f>
        <v>10</v>
      </c>
      <c r="AX4">
        <f>AX3</f>
        <v>3</v>
      </c>
      <c r="AY4">
        <f>AY3</f>
        <v>1.1000000000000001</v>
      </c>
      <c r="AZ4">
        <f>baseBetterNumbers(AZ3*AY4)</f>
        <v>1100</v>
      </c>
      <c r="BA4">
        <f>BA3</f>
        <v>1.1000000000000001</v>
      </c>
      <c r="BB4">
        <f>baseBetterNumbers(BB3*BA4)</f>
        <v>11</v>
      </c>
      <c r="BD4">
        <v>2</v>
      </c>
      <c r="BE4">
        <v>1000</v>
      </c>
      <c r="BF4">
        <v>3</v>
      </c>
      <c r="BG4" t="str">
        <f t="shared" ref="BG4:BG29" si="2">secToTime(BH4)</f>
        <v>0h 20m</v>
      </c>
      <c r="BH4">
        <v>1200</v>
      </c>
      <c r="BI4">
        <f>BI3</f>
        <v>0.5</v>
      </c>
      <c r="BJ4">
        <f>BJ3</f>
        <v>1.2</v>
      </c>
      <c r="BK4">
        <f>baseBetterNumbers(BK3*BJ4)</f>
        <v>96</v>
      </c>
    </row>
    <row r="5" spans="2:63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G5">
        <f t="shared" ref="G5:G29" si="3">G4</f>
        <v>10</v>
      </c>
      <c r="H5">
        <f t="shared" ref="H5:H29" si="4">H4+G5</f>
        <v>50</v>
      </c>
      <c r="I5">
        <f t="shared" ref="I5:I29" si="5">I4</f>
        <v>20</v>
      </c>
      <c r="J5">
        <f t="shared" ref="J5:J29" si="6">J4+I5</f>
        <v>90</v>
      </c>
      <c r="K5">
        <f t="shared" ref="K5:K29" si="7">K4</f>
        <v>1</v>
      </c>
      <c r="L5">
        <f t="shared" ref="L5:L29" si="8">L4</f>
        <v>4</v>
      </c>
      <c r="M5">
        <f t="shared" ref="M5:M29" si="9">M4</f>
        <v>1</v>
      </c>
      <c r="N5">
        <f t="shared" ref="N5:N29" si="10">N4</f>
        <v>5</v>
      </c>
      <c r="O5">
        <f t="shared" ref="O5:O29" si="11">O4</f>
        <v>1.1000000000000001</v>
      </c>
      <c r="P5">
        <f>baseBetterNumbers(P4*O5)</f>
        <v>145</v>
      </c>
      <c r="Q5">
        <f t="shared" ref="Q5:Q29" si="12">Q4</f>
        <v>1.1000000000000001</v>
      </c>
      <c r="R5">
        <f>baseBetterNumbers(R4*Q5)</f>
        <v>61</v>
      </c>
      <c r="T5">
        <v>3</v>
      </c>
      <c r="U5">
        <v>14000</v>
      </c>
      <c r="V5">
        <v>4</v>
      </c>
      <c r="W5" t="str">
        <f t="shared" si="1"/>
        <v>0h 30m</v>
      </c>
      <c r="X5">
        <v>1800</v>
      </c>
      <c r="Y5">
        <f t="shared" ref="Y5:Y19" si="13">Y4</f>
        <v>30</v>
      </c>
      <c r="Z5">
        <f t="shared" ref="Z5:Z19" si="14">Z4+Y5</f>
        <v>180</v>
      </c>
      <c r="AA5">
        <f t="shared" ref="AA5:AA19" si="15">AA4</f>
        <v>40</v>
      </c>
      <c r="AB5">
        <f t="shared" ref="AB5:AB19" si="16">AB4+AA5</f>
        <v>230</v>
      </c>
      <c r="AC5">
        <f t="shared" ref="AC5:AC19" si="17">AC4</f>
        <v>2</v>
      </c>
      <c r="AD5">
        <f t="shared" ref="AD5:AD19" si="18">AD4</f>
        <v>8</v>
      </c>
      <c r="AE5">
        <f t="shared" ref="AE5:AE19" si="19">AE4</f>
        <v>0.5</v>
      </c>
      <c r="AF5">
        <f t="shared" ref="AF5:AF19" si="20">AF4</f>
        <v>4</v>
      </c>
      <c r="AG5">
        <f t="shared" ref="AG5:AG19" si="21">AG4</f>
        <v>1.1000000000000001</v>
      </c>
      <c r="AH5">
        <f>baseBetterNumbers(AH4*AG5)</f>
        <v>61</v>
      </c>
      <c r="AI5">
        <f t="shared" ref="AI5:AI19" si="22">AI4</f>
        <v>1.1000000000000001</v>
      </c>
      <c r="AJ5">
        <f>baseBetterNumbers(AJ4*AI5)</f>
        <v>182</v>
      </c>
      <c r="AL5">
        <v>3</v>
      </c>
      <c r="AM5">
        <v>15000</v>
      </c>
      <c r="AN5">
        <v>4</v>
      </c>
      <c r="AO5" s="73" t="s">
        <v>144</v>
      </c>
      <c r="AP5" s="73">
        <v>1800</v>
      </c>
      <c r="AQ5">
        <f t="shared" ref="AQ5:AQ9" si="23">AQ4</f>
        <v>100</v>
      </c>
      <c r="AR5">
        <f t="shared" ref="AR5:AR9" si="24">AR4+AQ5</f>
        <v>800</v>
      </c>
      <c r="AS5">
        <f t="shared" ref="AS5:AS9" si="25">AS4</f>
        <v>100</v>
      </c>
      <c r="AT5">
        <f t="shared" ref="AT5:AT9" si="26">AT4+AS5</f>
        <v>700</v>
      </c>
      <c r="AU5">
        <f t="shared" ref="AU5:AU9" si="27">AU4</f>
        <v>3</v>
      </c>
      <c r="AV5">
        <f t="shared" ref="AV5:AV9" si="28">AV4</f>
        <v>3</v>
      </c>
      <c r="AW5">
        <f t="shared" ref="AW5:AW9" si="29">AW4</f>
        <v>10</v>
      </c>
      <c r="AX5">
        <f t="shared" ref="AX5:AX9" si="30">AX4</f>
        <v>3</v>
      </c>
      <c r="AY5">
        <f t="shared" ref="AY5:AY9" si="31">AY4</f>
        <v>1.1000000000000001</v>
      </c>
      <c r="AZ5">
        <f>baseBetterNumbers(AZ4*AY5)</f>
        <v>1210</v>
      </c>
      <c r="BA5">
        <f t="shared" ref="BA5:BA9" si="32">BA4</f>
        <v>1.1000000000000001</v>
      </c>
      <c r="BB5">
        <f>baseBetterNumbers(BB4*BA5)</f>
        <v>12</v>
      </c>
      <c r="BD5">
        <v>3</v>
      </c>
      <c r="BE5">
        <v>1500</v>
      </c>
      <c r="BF5">
        <v>4</v>
      </c>
      <c r="BG5" t="str">
        <f t="shared" si="2"/>
        <v>0h 30m</v>
      </c>
      <c r="BH5">
        <v>1800</v>
      </c>
      <c r="BI5">
        <f t="shared" ref="BI5:BJ29" si="33">BI4</f>
        <v>0.5</v>
      </c>
      <c r="BJ5">
        <f t="shared" si="33"/>
        <v>1.2</v>
      </c>
      <c r="BK5">
        <f>baseBetterNumbers(BK4*BJ5)</f>
        <v>115</v>
      </c>
    </row>
    <row r="6" spans="2:63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G6">
        <f t="shared" si="3"/>
        <v>10</v>
      </c>
      <c r="H6">
        <f t="shared" si="4"/>
        <v>60</v>
      </c>
      <c r="I6">
        <f t="shared" si="5"/>
        <v>20</v>
      </c>
      <c r="J6">
        <f t="shared" si="6"/>
        <v>110</v>
      </c>
      <c r="K6">
        <f t="shared" si="7"/>
        <v>1</v>
      </c>
      <c r="L6">
        <f t="shared" si="8"/>
        <v>4</v>
      </c>
      <c r="M6">
        <f t="shared" si="9"/>
        <v>1</v>
      </c>
      <c r="N6">
        <f t="shared" si="10"/>
        <v>5</v>
      </c>
      <c r="O6">
        <f t="shared" si="11"/>
        <v>1.1000000000000001</v>
      </c>
      <c r="P6">
        <f>baseBetterNumbers(P5*O6)</f>
        <v>160</v>
      </c>
      <c r="Q6">
        <f t="shared" si="12"/>
        <v>1.1000000000000001</v>
      </c>
      <c r="R6">
        <f>baseBetterNumbers(R5*Q6)</f>
        <v>67</v>
      </c>
      <c r="T6">
        <v>4</v>
      </c>
      <c r="U6">
        <v>16000</v>
      </c>
      <c r="V6">
        <v>5</v>
      </c>
      <c r="W6" t="str">
        <f t="shared" si="1"/>
        <v>0h 40m</v>
      </c>
      <c r="X6">
        <v>2400</v>
      </c>
      <c r="Y6">
        <f t="shared" si="13"/>
        <v>30</v>
      </c>
      <c r="Z6">
        <f t="shared" si="14"/>
        <v>210</v>
      </c>
      <c r="AA6">
        <f t="shared" si="15"/>
        <v>40</v>
      </c>
      <c r="AB6">
        <f t="shared" si="16"/>
        <v>270</v>
      </c>
      <c r="AC6">
        <f t="shared" si="17"/>
        <v>2</v>
      </c>
      <c r="AD6">
        <f t="shared" si="18"/>
        <v>8</v>
      </c>
      <c r="AE6">
        <f t="shared" si="19"/>
        <v>0.5</v>
      </c>
      <c r="AF6">
        <f t="shared" si="20"/>
        <v>4</v>
      </c>
      <c r="AG6">
        <f t="shared" si="21"/>
        <v>1.1000000000000001</v>
      </c>
      <c r="AH6">
        <f>baseBetterNumbers(AH5*AG6)</f>
        <v>67</v>
      </c>
      <c r="AI6">
        <f t="shared" si="22"/>
        <v>1.1000000000000001</v>
      </c>
      <c r="AJ6">
        <f>baseBetterNumbers(AJ5*AI6)</f>
        <v>200</v>
      </c>
      <c r="AL6">
        <v>4</v>
      </c>
      <c r="AM6">
        <v>20000</v>
      </c>
      <c r="AN6">
        <v>5</v>
      </c>
      <c r="AO6" s="73" t="s">
        <v>145</v>
      </c>
      <c r="AP6" s="73">
        <v>2400</v>
      </c>
      <c r="AQ6">
        <f t="shared" si="23"/>
        <v>100</v>
      </c>
      <c r="AR6">
        <f t="shared" si="24"/>
        <v>900</v>
      </c>
      <c r="AS6">
        <f t="shared" si="25"/>
        <v>100</v>
      </c>
      <c r="AT6">
        <f t="shared" si="26"/>
        <v>800</v>
      </c>
      <c r="AU6">
        <f t="shared" si="27"/>
        <v>3</v>
      </c>
      <c r="AV6">
        <f t="shared" si="28"/>
        <v>3</v>
      </c>
      <c r="AW6">
        <f t="shared" si="29"/>
        <v>10</v>
      </c>
      <c r="AX6">
        <f t="shared" si="30"/>
        <v>3</v>
      </c>
      <c r="AY6">
        <f t="shared" si="31"/>
        <v>1.1000000000000001</v>
      </c>
      <c r="AZ6">
        <f>baseBetterNumbers(AZ5*AY6)</f>
        <v>1330</v>
      </c>
      <c r="BA6">
        <f t="shared" si="32"/>
        <v>1.1000000000000001</v>
      </c>
      <c r="BB6">
        <f>baseBetterNumbers(BB5*BA6)</f>
        <v>13</v>
      </c>
      <c r="BD6">
        <v>4</v>
      </c>
      <c r="BE6">
        <v>2000</v>
      </c>
      <c r="BF6">
        <v>5</v>
      </c>
      <c r="BG6" t="str">
        <f t="shared" si="2"/>
        <v>0h 40m</v>
      </c>
      <c r="BH6">
        <v>2400</v>
      </c>
      <c r="BI6">
        <f t="shared" si="33"/>
        <v>0.5</v>
      </c>
      <c r="BJ6">
        <f t="shared" si="33"/>
        <v>1.2</v>
      </c>
      <c r="BK6">
        <f>baseBetterNumbers(BK5*BJ6)</f>
        <v>138</v>
      </c>
    </row>
    <row r="7" spans="2:63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G7">
        <f t="shared" si="3"/>
        <v>10</v>
      </c>
      <c r="H7">
        <f t="shared" si="4"/>
        <v>70</v>
      </c>
      <c r="I7">
        <f t="shared" si="5"/>
        <v>20</v>
      </c>
      <c r="J7">
        <f t="shared" si="6"/>
        <v>130</v>
      </c>
      <c r="K7">
        <f t="shared" si="7"/>
        <v>1</v>
      </c>
      <c r="L7">
        <f t="shared" si="8"/>
        <v>4</v>
      </c>
      <c r="M7">
        <f t="shared" si="9"/>
        <v>1</v>
      </c>
      <c r="N7">
        <f t="shared" si="10"/>
        <v>5</v>
      </c>
      <c r="O7">
        <f t="shared" si="11"/>
        <v>1.1000000000000001</v>
      </c>
      <c r="P7">
        <f>baseBetterNumbers(P6*O7)</f>
        <v>176</v>
      </c>
      <c r="Q7">
        <f t="shared" si="12"/>
        <v>1.1000000000000001</v>
      </c>
      <c r="R7">
        <f>baseBetterNumbers(R6*Q7)</f>
        <v>74</v>
      </c>
      <c r="T7">
        <v>5</v>
      </c>
      <c r="U7">
        <v>18000</v>
      </c>
      <c r="V7">
        <v>6</v>
      </c>
      <c r="W7" t="str">
        <f t="shared" si="1"/>
        <v>0h 50m</v>
      </c>
      <c r="X7">
        <v>3000</v>
      </c>
      <c r="Y7">
        <f t="shared" si="13"/>
        <v>30</v>
      </c>
      <c r="Z7">
        <f t="shared" si="14"/>
        <v>240</v>
      </c>
      <c r="AA7">
        <f t="shared" si="15"/>
        <v>40</v>
      </c>
      <c r="AB7">
        <f t="shared" si="16"/>
        <v>310</v>
      </c>
      <c r="AC7">
        <f t="shared" si="17"/>
        <v>2</v>
      </c>
      <c r="AD7">
        <f t="shared" si="18"/>
        <v>8</v>
      </c>
      <c r="AE7">
        <f t="shared" si="19"/>
        <v>0.5</v>
      </c>
      <c r="AF7">
        <f t="shared" si="20"/>
        <v>4</v>
      </c>
      <c r="AG7">
        <f t="shared" si="21"/>
        <v>1.1000000000000001</v>
      </c>
      <c r="AH7">
        <f>baseBetterNumbers(AH6*AG7)</f>
        <v>74</v>
      </c>
      <c r="AI7">
        <f t="shared" si="22"/>
        <v>1.1000000000000001</v>
      </c>
      <c r="AJ7">
        <f>baseBetterNumbers(AJ6*AI7)</f>
        <v>220</v>
      </c>
      <c r="AL7">
        <v>5</v>
      </c>
      <c r="AM7">
        <v>25000</v>
      </c>
      <c r="AN7">
        <v>6</v>
      </c>
      <c r="AO7" s="73" t="s">
        <v>146</v>
      </c>
      <c r="AP7" s="73">
        <v>3000</v>
      </c>
      <c r="AQ7">
        <f t="shared" si="23"/>
        <v>100</v>
      </c>
      <c r="AR7">
        <f t="shared" si="24"/>
        <v>1000</v>
      </c>
      <c r="AS7">
        <f t="shared" si="25"/>
        <v>100</v>
      </c>
      <c r="AT7">
        <f t="shared" si="26"/>
        <v>900</v>
      </c>
      <c r="AU7">
        <f t="shared" si="27"/>
        <v>3</v>
      </c>
      <c r="AV7">
        <f t="shared" si="28"/>
        <v>3</v>
      </c>
      <c r="AW7">
        <f t="shared" si="29"/>
        <v>10</v>
      </c>
      <c r="AX7">
        <f t="shared" si="30"/>
        <v>3</v>
      </c>
      <c r="AY7">
        <f t="shared" si="31"/>
        <v>1.1000000000000001</v>
      </c>
      <c r="AZ7">
        <f>baseBetterNumbers(AZ6*AY7)</f>
        <v>1460</v>
      </c>
      <c r="BA7">
        <f t="shared" si="32"/>
        <v>1.1000000000000001</v>
      </c>
      <c r="BB7">
        <f>baseBetterNumbers(BB6*BA7)</f>
        <v>14</v>
      </c>
      <c r="BD7">
        <v>5</v>
      </c>
      <c r="BE7">
        <v>2500</v>
      </c>
      <c r="BF7">
        <v>6</v>
      </c>
      <c r="BG7" t="str">
        <f t="shared" si="2"/>
        <v>0h 50m</v>
      </c>
      <c r="BH7">
        <v>3000</v>
      </c>
      <c r="BI7">
        <f t="shared" si="33"/>
        <v>0.5</v>
      </c>
      <c r="BJ7">
        <f t="shared" si="33"/>
        <v>1.2</v>
      </c>
      <c r="BK7">
        <f>baseBetterNumbers(BK6*BJ7)</f>
        <v>166</v>
      </c>
    </row>
    <row r="8" spans="2:63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G8">
        <f t="shared" si="3"/>
        <v>10</v>
      </c>
      <c r="H8">
        <f t="shared" si="4"/>
        <v>80</v>
      </c>
      <c r="I8">
        <f t="shared" si="5"/>
        <v>20</v>
      </c>
      <c r="J8">
        <f t="shared" si="6"/>
        <v>150</v>
      </c>
      <c r="K8">
        <f t="shared" si="7"/>
        <v>1</v>
      </c>
      <c r="L8">
        <f t="shared" si="8"/>
        <v>4</v>
      </c>
      <c r="M8">
        <f t="shared" si="9"/>
        <v>1</v>
      </c>
      <c r="N8">
        <f t="shared" si="10"/>
        <v>5</v>
      </c>
      <c r="O8">
        <f t="shared" si="11"/>
        <v>1.1000000000000001</v>
      </c>
      <c r="P8">
        <f>baseBetterNumbers(P7*O8)</f>
        <v>194</v>
      </c>
      <c r="Q8">
        <f t="shared" si="12"/>
        <v>1.1000000000000001</v>
      </c>
      <c r="R8">
        <f>baseBetterNumbers(R7*Q8)</f>
        <v>81</v>
      </c>
      <c r="T8">
        <v>6</v>
      </c>
      <c r="U8">
        <v>20000</v>
      </c>
      <c r="V8">
        <v>7</v>
      </c>
      <c r="W8" t="str">
        <f t="shared" si="1"/>
        <v>1h 0m</v>
      </c>
      <c r="X8">
        <v>3600</v>
      </c>
      <c r="Y8">
        <f t="shared" si="13"/>
        <v>30</v>
      </c>
      <c r="Z8">
        <f t="shared" si="14"/>
        <v>270</v>
      </c>
      <c r="AA8">
        <f t="shared" si="15"/>
        <v>40</v>
      </c>
      <c r="AB8">
        <f t="shared" si="16"/>
        <v>350</v>
      </c>
      <c r="AC8">
        <f t="shared" si="17"/>
        <v>2</v>
      </c>
      <c r="AD8">
        <f t="shared" si="18"/>
        <v>8</v>
      </c>
      <c r="AE8">
        <f t="shared" si="19"/>
        <v>0.5</v>
      </c>
      <c r="AF8">
        <f t="shared" si="20"/>
        <v>4</v>
      </c>
      <c r="AG8">
        <f t="shared" si="21"/>
        <v>1.1000000000000001</v>
      </c>
      <c r="AH8">
        <f>baseBetterNumbers(AH7*AG8)</f>
        <v>81</v>
      </c>
      <c r="AI8">
        <f t="shared" si="22"/>
        <v>1.1000000000000001</v>
      </c>
      <c r="AJ8">
        <f>baseBetterNumbers(AJ7*AI8)</f>
        <v>242</v>
      </c>
      <c r="AL8">
        <v>6</v>
      </c>
      <c r="AM8">
        <v>30000</v>
      </c>
      <c r="AN8">
        <v>7</v>
      </c>
      <c r="AO8" s="73" t="s">
        <v>147</v>
      </c>
      <c r="AP8" s="73">
        <v>3600</v>
      </c>
      <c r="AQ8">
        <f t="shared" si="23"/>
        <v>100</v>
      </c>
      <c r="AR8">
        <f t="shared" si="24"/>
        <v>1100</v>
      </c>
      <c r="AS8">
        <f t="shared" si="25"/>
        <v>100</v>
      </c>
      <c r="AT8">
        <f t="shared" si="26"/>
        <v>1000</v>
      </c>
      <c r="AU8">
        <f t="shared" si="27"/>
        <v>3</v>
      </c>
      <c r="AV8">
        <f t="shared" si="28"/>
        <v>3</v>
      </c>
      <c r="AW8">
        <f t="shared" si="29"/>
        <v>10</v>
      </c>
      <c r="AX8">
        <f t="shared" si="30"/>
        <v>3</v>
      </c>
      <c r="AY8">
        <f t="shared" si="31"/>
        <v>1.1000000000000001</v>
      </c>
      <c r="AZ8">
        <f>baseBetterNumbers(AZ7*AY8)</f>
        <v>1610</v>
      </c>
      <c r="BA8">
        <f t="shared" si="32"/>
        <v>1.1000000000000001</v>
      </c>
      <c r="BB8">
        <f>baseBetterNumbers(BB7*BA8)</f>
        <v>15</v>
      </c>
      <c r="BD8">
        <v>6</v>
      </c>
      <c r="BE8">
        <v>3000</v>
      </c>
      <c r="BF8">
        <v>7</v>
      </c>
      <c r="BG8" t="str">
        <f t="shared" si="2"/>
        <v>1h 0m</v>
      </c>
      <c r="BH8">
        <v>3600</v>
      </c>
      <c r="BI8">
        <f t="shared" si="33"/>
        <v>0.5</v>
      </c>
      <c r="BJ8">
        <f t="shared" si="33"/>
        <v>1.2</v>
      </c>
      <c r="BK8">
        <f>baseBetterNumbers(BK7*BJ8)</f>
        <v>199</v>
      </c>
    </row>
    <row r="9" spans="2:63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G9">
        <f t="shared" si="3"/>
        <v>10</v>
      </c>
      <c r="H9">
        <f t="shared" si="4"/>
        <v>90</v>
      </c>
      <c r="I9">
        <f t="shared" si="5"/>
        <v>20</v>
      </c>
      <c r="J9">
        <f t="shared" si="6"/>
        <v>170</v>
      </c>
      <c r="K9">
        <f t="shared" si="7"/>
        <v>1</v>
      </c>
      <c r="L9">
        <f t="shared" si="8"/>
        <v>4</v>
      </c>
      <c r="M9">
        <f t="shared" si="9"/>
        <v>1</v>
      </c>
      <c r="N9">
        <f t="shared" si="10"/>
        <v>5</v>
      </c>
      <c r="O9">
        <f t="shared" si="11"/>
        <v>1.1000000000000001</v>
      </c>
      <c r="P9">
        <f>baseBetterNumbers(P8*O9)</f>
        <v>213</v>
      </c>
      <c r="Q9">
        <f t="shared" si="12"/>
        <v>1.1000000000000001</v>
      </c>
      <c r="R9">
        <f>baseBetterNumbers(R8*Q9)</f>
        <v>89</v>
      </c>
      <c r="T9">
        <v>7</v>
      </c>
      <c r="U9">
        <v>22000</v>
      </c>
      <c r="V9">
        <v>8</v>
      </c>
      <c r="W9" t="str">
        <f t="shared" si="1"/>
        <v>1h 10m</v>
      </c>
      <c r="X9">
        <v>4200</v>
      </c>
      <c r="Y9">
        <f t="shared" si="13"/>
        <v>30</v>
      </c>
      <c r="Z9">
        <f t="shared" si="14"/>
        <v>300</v>
      </c>
      <c r="AA9">
        <f t="shared" si="15"/>
        <v>40</v>
      </c>
      <c r="AB9">
        <f t="shared" si="16"/>
        <v>390</v>
      </c>
      <c r="AC9">
        <f t="shared" si="17"/>
        <v>2</v>
      </c>
      <c r="AD9">
        <f t="shared" si="18"/>
        <v>8</v>
      </c>
      <c r="AE9">
        <f t="shared" si="19"/>
        <v>0.5</v>
      </c>
      <c r="AF9">
        <f t="shared" si="20"/>
        <v>4</v>
      </c>
      <c r="AG9">
        <f t="shared" si="21"/>
        <v>1.1000000000000001</v>
      </c>
      <c r="AH9">
        <f>baseBetterNumbers(AH8*AG9)</f>
        <v>89</v>
      </c>
      <c r="AI9">
        <f t="shared" si="22"/>
        <v>1.1000000000000001</v>
      </c>
      <c r="AJ9">
        <f>baseBetterNumbers(AJ8*AI9)</f>
        <v>266</v>
      </c>
      <c r="AL9">
        <v>7</v>
      </c>
      <c r="AM9">
        <v>35000</v>
      </c>
      <c r="AN9">
        <v>8</v>
      </c>
      <c r="AO9" s="73" t="s">
        <v>148</v>
      </c>
      <c r="AP9" s="73">
        <v>4200</v>
      </c>
      <c r="AQ9">
        <f t="shared" si="23"/>
        <v>100</v>
      </c>
      <c r="AR9">
        <f t="shared" si="24"/>
        <v>1200</v>
      </c>
      <c r="AS9">
        <f t="shared" si="25"/>
        <v>100</v>
      </c>
      <c r="AT9">
        <f t="shared" si="26"/>
        <v>1100</v>
      </c>
      <c r="AU9">
        <f t="shared" si="27"/>
        <v>3</v>
      </c>
      <c r="AV9">
        <f t="shared" si="28"/>
        <v>3</v>
      </c>
      <c r="AW9">
        <f t="shared" si="29"/>
        <v>10</v>
      </c>
      <c r="AX9">
        <f t="shared" si="30"/>
        <v>3</v>
      </c>
      <c r="AY9">
        <f t="shared" si="31"/>
        <v>1.1000000000000001</v>
      </c>
      <c r="AZ9">
        <f>baseBetterNumbers(AZ8*AY9)</f>
        <v>1770</v>
      </c>
      <c r="BA9">
        <f t="shared" si="32"/>
        <v>1.1000000000000001</v>
      </c>
      <c r="BB9">
        <f>baseBetterNumbers(BB8*BA9)</f>
        <v>16</v>
      </c>
      <c r="BD9">
        <v>7</v>
      </c>
      <c r="BE9">
        <v>3500</v>
      </c>
      <c r="BF9">
        <v>8</v>
      </c>
      <c r="BG9" t="str">
        <f t="shared" si="2"/>
        <v>1h 10m</v>
      </c>
      <c r="BH9">
        <v>4200</v>
      </c>
      <c r="BI9">
        <f t="shared" si="33"/>
        <v>0.5</v>
      </c>
      <c r="BJ9">
        <f t="shared" si="33"/>
        <v>1.2</v>
      </c>
      <c r="BK9">
        <f>baseBetterNumbers(BK8*BJ9)</f>
        <v>239</v>
      </c>
    </row>
    <row r="10" spans="2:63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G10">
        <f t="shared" si="3"/>
        <v>10</v>
      </c>
      <c r="H10">
        <f t="shared" si="4"/>
        <v>100</v>
      </c>
      <c r="I10">
        <f t="shared" si="5"/>
        <v>20</v>
      </c>
      <c r="J10">
        <f t="shared" si="6"/>
        <v>190</v>
      </c>
      <c r="K10">
        <f t="shared" si="7"/>
        <v>1</v>
      </c>
      <c r="L10">
        <f t="shared" si="8"/>
        <v>4</v>
      </c>
      <c r="M10">
        <f t="shared" si="9"/>
        <v>1</v>
      </c>
      <c r="N10">
        <f t="shared" si="10"/>
        <v>5</v>
      </c>
      <c r="O10">
        <f t="shared" si="11"/>
        <v>1.1000000000000001</v>
      </c>
      <c r="P10">
        <f>baseBetterNumbers(P9*O10)</f>
        <v>234</v>
      </c>
      <c r="Q10">
        <f t="shared" si="12"/>
        <v>1.1000000000000001</v>
      </c>
      <c r="R10">
        <f>baseBetterNumbers(R9*Q10)</f>
        <v>98</v>
      </c>
      <c r="T10">
        <v>8</v>
      </c>
      <c r="U10">
        <v>24000</v>
      </c>
      <c r="V10">
        <v>9</v>
      </c>
      <c r="W10" t="str">
        <f t="shared" si="1"/>
        <v>1h 20m</v>
      </c>
      <c r="X10">
        <v>4800</v>
      </c>
      <c r="Y10">
        <f t="shared" si="13"/>
        <v>30</v>
      </c>
      <c r="Z10">
        <f t="shared" si="14"/>
        <v>330</v>
      </c>
      <c r="AA10">
        <f t="shared" si="15"/>
        <v>40</v>
      </c>
      <c r="AB10">
        <f t="shared" si="16"/>
        <v>430</v>
      </c>
      <c r="AC10">
        <f t="shared" si="17"/>
        <v>2</v>
      </c>
      <c r="AD10">
        <f t="shared" si="18"/>
        <v>8</v>
      </c>
      <c r="AE10">
        <f t="shared" si="19"/>
        <v>0.5</v>
      </c>
      <c r="AF10">
        <f t="shared" si="20"/>
        <v>4</v>
      </c>
      <c r="AG10">
        <f t="shared" si="21"/>
        <v>1.1000000000000001</v>
      </c>
      <c r="AH10">
        <f>baseBetterNumbers(AH9*AG10)</f>
        <v>98</v>
      </c>
      <c r="AI10">
        <f t="shared" si="22"/>
        <v>1.1000000000000001</v>
      </c>
      <c r="AJ10">
        <f>baseBetterNumbers(AJ9*AI10)</f>
        <v>293</v>
      </c>
      <c r="BD10">
        <v>8</v>
      </c>
      <c r="BE10">
        <v>4000</v>
      </c>
      <c r="BF10">
        <v>9</v>
      </c>
      <c r="BG10" t="str">
        <f t="shared" si="2"/>
        <v>1h 20m</v>
      </c>
      <c r="BH10">
        <v>4800</v>
      </c>
      <c r="BI10">
        <f t="shared" si="33"/>
        <v>0.5</v>
      </c>
      <c r="BJ10">
        <f t="shared" si="33"/>
        <v>1.2</v>
      </c>
      <c r="BK10">
        <f>baseBetterNumbers(BK9*BJ10)</f>
        <v>287</v>
      </c>
    </row>
    <row r="11" spans="2:63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G11">
        <f t="shared" si="3"/>
        <v>10</v>
      </c>
      <c r="H11">
        <f t="shared" si="4"/>
        <v>110</v>
      </c>
      <c r="I11">
        <f t="shared" si="5"/>
        <v>20</v>
      </c>
      <c r="J11">
        <f t="shared" si="6"/>
        <v>210</v>
      </c>
      <c r="K11">
        <f t="shared" si="7"/>
        <v>1</v>
      </c>
      <c r="L11">
        <f t="shared" si="8"/>
        <v>4</v>
      </c>
      <c r="M11">
        <f t="shared" si="9"/>
        <v>1</v>
      </c>
      <c r="N11">
        <f t="shared" si="10"/>
        <v>5</v>
      </c>
      <c r="O11">
        <f t="shared" si="11"/>
        <v>1.1000000000000001</v>
      </c>
      <c r="P11">
        <f>baseBetterNumbers(P10*O11)</f>
        <v>257</v>
      </c>
      <c r="Q11">
        <f t="shared" si="12"/>
        <v>1.1000000000000001</v>
      </c>
      <c r="R11">
        <f>baseBetterNumbers(R10*Q11)</f>
        <v>108</v>
      </c>
      <c r="T11">
        <v>9</v>
      </c>
      <c r="U11">
        <v>26000</v>
      </c>
      <c r="V11">
        <v>10</v>
      </c>
      <c r="W11" t="str">
        <f t="shared" si="1"/>
        <v>1h 30m</v>
      </c>
      <c r="X11">
        <v>5400</v>
      </c>
      <c r="Y11">
        <f t="shared" si="13"/>
        <v>30</v>
      </c>
      <c r="Z11">
        <f t="shared" si="14"/>
        <v>360</v>
      </c>
      <c r="AA11">
        <f t="shared" si="15"/>
        <v>40</v>
      </c>
      <c r="AB11">
        <f t="shared" si="16"/>
        <v>470</v>
      </c>
      <c r="AC11">
        <f t="shared" si="17"/>
        <v>2</v>
      </c>
      <c r="AD11">
        <f t="shared" si="18"/>
        <v>8</v>
      </c>
      <c r="AE11">
        <f t="shared" si="19"/>
        <v>0.5</v>
      </c>
      <c r="AF11">
        <f t="shared" si="20"/>
        <v>4</v>
      </c>
      <c r="AG11">
        <f t="shared" si="21"/>
        <v>1.1000000000000001</v>
      </c>
      <c r="AH11">
        <f>baseBetterNumbers(AH10*AG11)</f>
        <v>108</v>
      </c>
      <c r="AI11">
        <f t="shared" si="22"/>
        <v>1.1000000000000001</v>
      </c>
      <c r="AJ11">
        <f>baseBetterNumbers(AJ10*AI11)</f>
        <v>322</v>
      </c>
      <c r="BD11">
        <v>9</v>
      </c>
      <c r="BE11">
        <v>4500</v>
      </c>
      <c r="BF11">
        <v>10</v>
      </c>
      <c r="BG11" t="str">
        <f t="shared" si="2"/>
        <v>1h 30m</v>
      </c>
      <c r="BH11">
        <v>5400</v>
      </c>
      <c r="BI11">
        <f t="shared" si="33"/>
        <v>0.5</v>
      </c>
      <c r="BJ11">
        <f t="shared" si="33"/>
        <v>1.2</v>
      </c>
      <c r="BK11">
        <f>baseBetterNumbers(BK10*BJ11)</f>
        <v>344</v>
      </c>
    </row>
    <row r="12" spans="2:63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G12">
        <f t="shared" si="3"/>
        <v>10</v>
      </c>
      <c r="H12">
        <f t="shared" si="4"/>
        <v>120</v>
      </c>
      <c r="I12">
        <f t="shared" si="5"/>
        <v>20</v>
      </c>
      <c r="J12">
        <f t="shared" si="6"/>
        <v>230</v>
      </c>
      <c r="K12">
        <f t="shared" si="7"/>
        <v>1</v>
      </c>
      <c r="L12">
        <f t="shared" si="8"/>
        <v>4</v>
      </c>
      <c r="M12">
        <f t="shared" si="9"/>
        <v>1</v>
      </c>
      <c r="N12">
        <f t="shared" si="10"/>
        <v>5</v>
      </c>
      <c r="O12">
        <f t="shared" si="11"/>
        <v>1.1000000000000001</v>
      </c>
      <c r="P12">
        <f>baseBetterNumbers(P11*O12)</f>
        <v>283</v>
      </c>
      <c r="Q12">
        <f t="shared" si="12"/>
        <v>1.1000000000000001</v>
      </c>
      <c r="R12">
        <f>baseBetterNumbers(R11*Q12)</f>
        <v>119</v>
      </c>
      <c r="T12">
        <v>10</v>
      </c>
      <c r="U12">
        <v>28000</v>
      </c>
      <c r="V12">
        <v>11</v>
      </c>
      <c r="W12" t="str">
        <f t="shared" si="1"/>
        <v>1h 40m</v>
      </c>
      <c r="X12">
        <v>6000</v>
      </c>
      <c r="Y12">
        <f t="shared" si="13"/>
        <v>30</v>
      </c>
      <c r="Z12">
        <f t="shared" si="14"/>
        <v>390</v>
      </c>
      <c r="AA12">
        <f t="shared" si="15"/>
        <v>40</v>
      </c>
      <c r="AB12">
        <f t="shared" si="16"/>
        <v>510</v>
      </c>
      <c r="AC12">
        <f t="shared" si="17"/>
        <v>2</v>
      </c>
      <c r="AD12">
        <f t="shared" si="18"/>
        <v>8</v>
      </c>
      <c r="AE12">
        <f t="shared" si="19"/>
        <v>0.5</v>
      </c>
      <c r="AF12">
        <f t="shared" si="20"/>
        <v>4</v>
      </c>
      <c r="AG12">
        <f t="shared" si="21"/>
        <v>1.1000000000000001</v>
      </c>
      <c r="AH12">
        <f>baseBetterNumbers(AH11*AG12)</f>
        <v>119</v>
      </c>
      <c r="AI12">
        <f t="shared" si="22"/>
        <v>1.1000000000000001</v>
      </c>
      <c r="AJ12">
        <f>baseBetterNumbers(AJ11*AI12)</f>
        <v>354</v>
      </c>
      <c r="BD12">
        <v>10</v>
      </c>
      <c r="BE12">
        <v>5000</v>
      </c>
      <c r="BF12">
        <v>11</v>
      </c>
      <c r="BG12" t="str">
        <f t="shared" si="2"/>
        <v>1h 40m</v>
      </c>
      <c r="BH12">
        <v>6000</v>
      </c>
      <c r="BI12">
        <f t="shared" si="33"/>
        <v>0.5</v>
      </c>
      <c r="BJ12">
        <v>1.1000000000000001</v>
      </c>
      <c r="BK12">
        <f>baseBetterNumbers(BK11*BJ12)</f>
        <v>378</v>
      </c>
    </row>
    <row r="13" spans="2:63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G13">
        <f t="shared" si="3"/>
        <v>10</v>
      </c>
      <c r="H13">
        <f t="shared" si="4"/>
        <v>130</v>
      </c>
      <c r="I13">
        <f t="shared" si="5"/>
        <v>20</v>
      </c>
      <c r="J13">
        <f t="shared" si="6"/>
        <v>250</v>
      </c>
      <c r="K13">
        <f t="shared" si="7"/>
        <v>1</v>
      </c>
      <c r="L13">
        <f t="shared" si="8"/>
        <v>4</v>
      </c>
      <c r="M13">
        <f t="shared" si="9"/>
        <v>1</v>
      </c>
      <c r="N13">
        <f t="shared" si="10"/>
        <v>5</v>
      </c>
      <c r="O13">
        <f t="shared" si="11"/>
        <v>1.1000000000000001</v>
      </c>
      <c r="P13">
        <f>baseBetterNumbers(P12*O13)</f>
        <v>311</v>
      </c>
      <c r="Q13">
        <f t="shared" si="12"/>
        <v>1.1000000000000001</v>
      </c>
      <c r="R13">
        <f>baseBetterNumbers(R12*Q13)</f>
        <v>131</v>
      </c>
      <c r="T13">
        <v>11</v>
      </c>
      <c r="U13">
        <v>30000</v>
      </c>
      <c r="V13">
        <v>12</v>
      </c>
      <c r="W13" t="str">
        <f t="shared" si="1"/>
        <v>1h 50m</v>
      </c>
      <c r="X13">
        <v>6600</v>
      </c>
      <c r="Y13">
        <f t="shared" si="13"/>
        <v>30</v>
      </c>
      <c r="Z13">
        <f t="shared" si="14"/>
        <v>420</v>
      </c>
      <c r="AA13">
        <f t="shared" si="15"/>
        <v>40</v>
      </c>
      <c r="AB13">
        <f t="shared" si="16"/>
        <v>550</v>
      </c>
      <c r="AC13">
        <f t="shared" si="17"/>
        <v>2</v>
      </c>
      <c r="AD13">
        <f t="shared" si="18"/>
        <v>8</v>
      </c>
      <c r="AE13">
        <f t="shared" si="19"/>
        <v>0.5</v>
      </c>
      <c r="AF13">
        <f t="shared" si="20"/>
        <v>4</v>
      </c>
      <c r="AG13">
        <f t="shared" si="21"/>
        <v>1.1000000000000001</v>
      </c>
      <c r="AH13">
        <f>baseBetterNumbers(AH12*AG13)</f>
        <v>131</v>
      </c>
      <c r="AI13">
        <f t="shared" si="22"/>
        <v>1.1000000000000001</v>
      </c>
      <c r="AJ13">
        <f>baseBetterNumbers(AJ12*AI13)</f>
        <v>389</v>
      </c>
      <c r="BD13">
        <v>11</v>
      </c>
      <c r="BE13">
        <v>5500</v>
      </c>
      <c r="BF13">
        <v>12</v>
      </c>
      <c r="BG13" t="str">
        <f t="shared" si="2"/>
        <v>1h 50m</v>
      </c>
      <c r="BH13">
        <v>6600</v>
      </c>
      <c r="BI13">
        <f t="shared" si="33"/>
        <v>0.5</v>
      </c>
      <c r="BJ13">
        <f t="shared" si="33"/>
        <v>1.1000000000000001</v>
      </c>
      <c r="BK13">
        <f>baseBetterNumbers(BK12*BJ13)</f>
        <v>416</v>
      </c>
    </row>
    <row r="14" spans="2:63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G14">
        <f t="shared" si="3"/>
        <v>10</v>
      </c>
      <c r="H14">
        <f t="shared" si="4"/>
        <v>140</v>
      </c>
      <c r="I14">
        <f t="shared" si="5"/>
        <v>20</v>
      </c>
      <c r="J14">
        <f t="shared" si="6"/>
        <v>270</v>
      </c>
      <c r="K14">
        <f t="shared" si="7"/>
        <v>1</v>
      </c>
      <c r="L14">
        <f t="shared" si="8"/>
        <v>4</v>
      </c>
      <c r="M14">
        <f t="shared" si="9"/>
        <v>1</v>
      </c>
      <c r="N14">
        <f t="shared" si="10"/>
        <v>5</v>
      </c>
      <c r="O14">
        <f t="shared" si="11"/>
        <v>1.1000000000000001</v>
      </c>
      <c r="P14">
        <f>baseBetterNumbers(P13*O14)</f>
        <v>342</v>
      </c>
      <c r="Q14">
        <f t="shared" si="12"/>
        <v>1.1000000000000001</v>
      </c>
      <c r="R14">
        <f>baseBetterNumbers(R13*Q14)</f>
        <v>144</v>
      </c>
      <c r="T14">
        <v>12</v>
      </c>
      <c r="U14">
        <v>32000</v>
      </c>
      <c r="V14">
        <v>13</v>
      </c>
      <c r="W14" t="str">
        <f t="shared" si="1"/>
        <v>2h 0m</v>
      </c>
      <c r="X14">
        <v>7200</v>
      </c>
      <c r="Y14">
        <f t="shared" si="13"/>
        <v>30</v>
      </c>
      <c r="Z14">
        <f t="shared" si="14"/>
        <v>450</v>
      </c>
      <c r="AA14">
        <f t="shared" si="15"/>
        <v>40</v>
      </c>
      <c r="AB14">
        <f t="shared" si="16"/>
        <v>590</v>
      </c>
      <c r="AC14">
        <f t="shared" si="17"/>
        <v>2</v>
      </c>
      <c r="AD14">
        <f t="shared" si="18"/>
        <v>8</v>
      </c>
      <c r="AE14">
        <f t="shared" si="19"/>
        <v>0.5</v>
      </c>
      <c r="AF14">
        <f t="shared" si="20"/>
        <v>4</v>
      </c>
      <c r="AG14">
        <f t="shared" si="21"/>
        <v>1.1000000000000001</v>
      </c>
      <c r="AH14">
        <f>baseBetterNumbers(AH13*AG14)</f>
        <v>144</v>
      </c>
      <c r="AI14">
        <f t="shared" si="22"/>
        <v>1.1000000000000001</v>
      </c>
      <c r="AJ14">
        <f>baseBetterNumbers(AJ13*AI14)</f>
        <v>428</v>
      </c>
      <c r="BD14">
        <v>12</v>
      </c>
      <c r="BE14">
        <v>6000</v>
      </c>
      <c r="BF14">
        <v>13</v>
      </c>
      <c r="BG14" t="str">
        <f t="shared" si="2"/>
        <v>2h 0m</v>
      </c>
      <c r="BH14">
        <v>7200</v>
      </c>
      <c r="BI14">
        <f t="shared" si="33"/>
        <v>0.5</v>
      </c>
      <c r="BJ14">
        <f t="shared" si="33"/>
        <v>1.1000000000000001</v>
      </c>
      <c r="BK14">
        <f>baseBetterNumbers(BK13*BJ14)</f>
        <v>458</v>
      </c>
    </row>
    <row r="15" spans="2:63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G15">
        <f t="shared" si="3"/>
        <v>10</v>
      </c>
      <c r="H15">
        <f t="shared" si="4"/>
        <v>150</v>
      </c>
      <c r="I15">
        <f t="shared" si="5"/>
        <v>20</v>
      </c>
      <c r="J15">
        <f t="shared" si="6"/>
        <v>290</v>
      </c>
      <c r="K15">
        <f t="shared" si="7"/>
        <v>1</v>
      </c>
      <c r="L15">
        <f t="shared" si="8"/>
        <v>4</v>
      </c>
      <c r="M15">
        <f t="shared" si="9"/>
        <v>1</v>
      </c>
      <c r="N15">
        <f t="shared" si="10"/>
        <v>5</v>
      </c>
      <c r="O15">
        <f t="shared" si="11"/>
        <v>1.1000000000000001</v>
      </c>
      <c r="P15">
        <f>baseBetterNumbers(P14*O15)</f>
        <v>376</v>
      </c>
      <c r="Q15">
        <f t="shared" si="12"/>
        <v>1.1000000000000001</v>
      </c>
      <c r="R15">
        <f>baseBetterNumbers(R14*Q15)</f>
        <v>158</v>
      </c>
      <c r="T15">
        <v>13</v>
      </c>
      <c r="U15">
        <v>34000</v>
      </c>
      <c r="V15">
        <v>14</v>
      </c>
      <c r="W15" t="str">
        <f t="shared" si="1"/>
        <v>2h 10m</v>
      </c>
      <c r="X15">
        <v>7800</v>
      </c>
      <c r="Y15">
        <f t="shared" si="13"/>
        <v>30</v>
      </c>
      <c r="Z15">
        <f t="shared" si="14"/>
        <v>480</v>
      </c>
      <c r="AA15">
        <f t="shared" si="15"/>
        <v>40</v>
      </c>
      <c r="AB15">
        <f t="shared" si="16"/>
        <v>630</v>
      </c>
      <c r="AC15">
        <f t="shared" si="17"/>
        <v>2</v>
      </c>
      <c r="AD15">
        <f t="shared" si="18"/>
        <v>8</v>
      </c>
      <c r="AE15">
        <f t="shared" si="19"/>
        <v>0.5</v>
      </c>
      <c r="AF15">
        <f t="shared" si="20"/>
        <v>4</v>
      </c>
      <c r="AG15">
        <f t="shared" si="21"/>
        <v>1.1000000000000001</v>
      </c>
      <c r="AH15">
        <f>baseBetterNumbers(AH14*AG15)</f>
        <v>158</v>
      </c>
      <c r="AI15">
        <f t="shared" si="22"/>
        <v>1.1000000000000001</v>
      </c>
      <c r="AJ15">
        <f>baseBetterNumbers(AJ14*AI15)</f>
        <v>471</v>
      </c>
      <c r="BD15">
        <v>13</v>
      </c>
      <c r="BE15">
        <v>6500</v>
      </c>
      <c r="BF15">
        <v>14</v>
      </c>
      <c r="BG15" t="str">
        <f t="shared" si="2"/>
        <v>2h 10m</v>
      </c>
      <c r="BH15">
        <v>7800</v>
      </c>
      <c r="BI15">
        <f t="shared" si="33"/>
        <v>0.5</v>
      </c>
      <c r="BJ15">
        <f t="shared" si="33"/>
        <v>1.1000000000000001</v>
      </c>
      <c r="BK15">
        <f>baseBetterNumbers(BK14*BJ15)</f>
        <v>504</v>
      </c>
    </row>
    <row r="16" spans="2:63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G16">
        <f t="shared" si="3"/>
        <v>10</v>
      </c>
      <c r="H16">
        <f t="shared" si="4"/>
        <v>160</v>
      </c>
      <c r="I16">
        <f t="shared" si="5"/>
        <v>20</v>
      </c>
      <c r="J16">
        <f t="shared" si="6"/>
        <v>310</v>
      </c>
      <c r="K16">
        <f t="shared" si="7"/>
        <v>1</v>
      </c>
      <c r="L16">
        <f t="shared" si="8"/>
        <v>4</v>
      </c>
      <c r="M16">
        <f t="shared" si="9"/>
        <v>1</v>
      </c>
      <c r="N16">
        <f t="shared" si="10"/>
        <v>5</v>
      </c>
      <c r="O16">
        <f t="shared" si="11"/>
        <v>1.1000000000000001</v>
      </c>
      <c r="P16">
        <f>baseBetterNumbers(P15*O16)</f>
        <v>414</v>
      </c>
      <c r="Q16">
        <f t="shared" si="12"/>
        <v>1.1000000000000001</v>
      </c>
      <c r="R16">
        <f>baseBetterNumbers(R15*Q16)</f>
        <v>174</v>
      </c>
      <c r="T16">
        <v>14</v>
      </c>
      <c r="U16">
        <v>36000</v>
      </c>
      <c r="V16">
        <v>15</v>
      </c>
      <c r="W16" t="str">
        <f t="shared" si="1"/>
        <v>2h 20m</v>
      </c>
      <c r="X16">
        <v>8400</v>
      </c>
      <c r="Y16">
        <f t="shared" si="13"/>
        <v>30</v>
      </c>
      <c r="Z16">
        <f t="shared" si="14"/>
        <v>510</v>
      </c>
      <c r="AA16">
        <f t="shared" si="15"/>
        <v>40</v>
      </c>
      <c r="AB16">
        <f t="shared" si="16"/>
        <v>670</v>
      </c>
      <c r="AC16">
        <f t="shared" si="17"/>
        <v>2</v>
      </c>
      <c r="AD16">
        <f t="shared" si="18"/>
        <v>8</v>
      </c>
      <c r="AE16">
        <f t="shared" si="19"/>
        <v>0.5</v>
      </c>
      <c r="AF16">
        <f t="shared" si="20"/>
        <v>4</v>
      </c>
      <c r="AG16">
        <f t="shared" si="21"/>
        <v>1.1000000000000001</v>
      </c>
      <c r="AH16">
        <f>baseBetterNumbers(AH15*AG16)</f>
        <v>174</v>
      </c>
      <c r="AI16">
        <f t="shared" si="22"/>
        <v>1.1000000000000001</v>
      </c>
      <c r="AJ16">
        <f>baseBetterNumbers(AJ15*AI16)</f>
        <v>518</v>
      </c>
      <c r="BD16">
        <v>14</v>
      </c>
      <c r="BE16">
        <v>7000</v>
      </c>
      <c r="BF16">
        <v>15</v>
      </c>
      <c r="BG16" t="str">
        <f t="shared" si="2"/>
        <v>2h 20m</v>
      </c>
      <c r="BH16">
        <v>8400</v>
      </c>
      <c r="BI16">
        <f t="shared" si="33"/>
        <v>0.5</v>
      </c>
      <c r="BJ16">
        <f t="shared" si="33"/>
        <v>1.1000000000000001</v>
      </c>
      <c r="BK16">
        <f>baseBetterNumbers(BK15*BJ16)</f>
        <v>554</v>
      </c>
    </row>
    <row r="17" spans="2:63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G17">
        <f t="shared" si="3"/>
        <v>10</v>
      </c>
      <c r="H17">
        <f t="shared" si="4"/>
        <v>170</v>
      </c>
      <c r="I17">
        <f t="shared" si="5"/>
        <v>20</v>
      </c>
      <c r="J17">
        <f t="shared" si="6"/>
        <v>330</v>
      </c>
      <c r="K17">
        <f t="shared" si="7"/>
        <v>1</v>
      </c>
      <c r="L17">
        <f t="shared" si="8"/>
        <v>4</v>
      </c>
      <c r="M17">
        <f t="shared" si="9"/>
        <v>1</v>
      </c>
      <c r="N17">
        <f t="shared" si="10"/>
        <v>5</v>
      </c>
      <c r="O17">
        <f t="shared" si="11"/>
        <v>1.1000000000000001</v>
      </c>
      <c r="P17">
        <f>baseBetterNumbers(P16*O17)</f>
        <v>455</v>
      </c>
      <c r="Q17">
        <f t="shared" si="12"/>
        <v>1.1000000000000001</v>
      </c>
      <c r="R17">
        <f>baseBetterNumbers(R16*Q17)</f>
        <v>191</v>
      </c>
      <c r="T17">
        <v>15</v>
      </c>
      <c r="U17">
        <v>38000</v>
      </c>
      <c r="V17">
        <v>16</v>
      </c>
      <c r="W17" t="str">
        <f t="shared" si="1"/>
        <v>2h 30m</v>
      </c>
      <c r="X17">
        <v>9000</v>
      </c>
      <c r="Y17">
        <f t="shared" si="13"/>
        <v>30</v>
      </c>
      <c r="Z17">
        <f t="shared" si="14"/>
        <v>540</v>
      </c>
      <c r="AA17">
        <f t="shared" si="15"/>
        <v>40</v>
      </c>
      <c r="AB17">
        <f t="shared" si="16"/>
        <v>710</v>
      </c>
      <c r="AC17">
        <f t="shared" si="17"/>
        <v>2</v>
      </c>
      <c r="AD17">
        <f t="shared" si="18"/>
        <v>8</v>
      </c>
      <c r="AE17">
        <f t="shared" si="19"/>
        <v>0.5</v>
      </c>
      <c r="AF17">
        <f t="shared" si="20"/>
        <v>4</v>
      </c>
      <c r="AG17">
        <f t="shared" si="21"/>
        <v>1.1000000000000001</v>
      </c>
      <c r="AH17">
        <f>baseBetterNumbers(AH16*AG17)</f>
        <v>191</v>
      </c>
      <c r="AI17">
        <f t="shared" si="22"/>
        <v>1.1000000000000001</v>
      </c>
      <c r="AJ17">
        <f>baseBetterNumbers(AJ16*AI17)</f>
        <v>570</v>
      </c>
      <c r="BD17">
        <v>15</v>
      </c>
      <c r="BE17">
        <v>7500</v>
      </c>
      <c r="BF17">
        <v>16</v>
      </c>
      <c r="BG17" t="str">
        <f t="shared" si="2"/>
        <v>2h 30m</v>
      </c>
      <c r="BH17">
        <v>9000</v>
      </c>
      <c r="BI17">
        <f t="shared" si="33"/>
        <v>0.5</v>
      </c>
      <c r="BJ17">
        <f t="shared" si="33"/>
        <v>1.1000000000000001</v>
      </c>
      <c r="BK17">
        <f>baseBetterNumbers(BK16*BJ17)</f>
        <v>609</v>
      </c>
    </row>
    <row r="18" spans="2:63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G18">
        <f t="shared" si="3"/>
        <v>10</v>
      </c>
      <c r="H18">
        <f t="shared" si="4"/>
        <v>180</v>
      </c>
      <c r="I18">
        <f t="shared" si="5"/>
        <v>20</v>
      </c>
      <c r="J18">
        <f t="shared" si="6"/>
        <v>350</v>
      </c>
      <c r="K18">
        <f t="shared" si="7"/>
        <v>1</v>
      </c>
      <c r="L18">
        <f t="shared" si="8"/>
        <v>4</v>
      </c>
      <c r="M18">
        <f t="shared" si="9"/>
        <v>1</v>
      </c>
      <c r="N18">
        <f t="shared" si="10"/>
        <v>5</v>
      </c>
      <c r="O18">
        <f t="shared" si="11"/>
        <v>1.1000000000000001</v>
      </c>
      <c r="P18">
        <f>baseBetterNumbers(P17*O18)</f>
        <v>501</v>
      </c>
      <c r="Q18">
        <f t="shared" si="12"/>
        <v>1.1000000000000001</v>
      </c>
      <c r="R18">
        <f>baseBetterNumbers(R17*Q18)</f>
        <v>210</v>
      </c>
      <c r="T18">
        <v>16</v>
      </c>
      <c r="U18">
        <v>40000</v>
      </c>
      <c r="V18">
        <v>17</v>
      </c>
      <c r="W18" t="str">
        <f t="shared" si="1"/>
        <v>2h 40m</v>
      </c>
      <c r="X18">
        <v>9600</v>
      </c>
      <c r="Y18">
        <f t="shared" si="13"/>
        <v>30</v>
      </c>
      <c r="Z18">
        <f t="shared" si="14"/>
        <v>570</v>
      </c>
      <c r="AA18">
        <f t="shared" si="15"/>
        <v>40</v>
      </c>
      <c r="AB18">
        <f t="shared" si="16"/>
        <v>750</v>
      </c>
      <c r="AC18">
        <f t="shared" si="17"/>
        <v>2</v>
      </c>
      <c r="AD18">
        <f t="shared" si="18"/>
        <v>8</v>
      </c>
      <c r="AE18">
        <f t="shared" si="19"/>
        <v>0.5</v>
      </c>
      <c r="AF18">
        <f t="shared" si="20"/>
        <v>4</v>
      </c>
      <c r="AG18">
        <f t="shared" si="21"/>
        <v>1.1000000000000001</v>
      </c>
      <c r="AH18">
        <f>baseBetterNumbers(AH17*AG18)</f>
        <v>210</v>
      </c>
      <c r="AI18">
        <f t="shared" si="22"/>
        <v>1.1000000000000001</v>
      </c>
      <c r="AJ18">
        <f>baseBetterNumbers(AJ17*AI18)</f>
        <v>627</v>
      </c>
      <c r="BD18">
        <v>16</v>
      </c>
      <c r="BE18">
        <v>8000</v>
      </c>
      <c r="BF18">
        <v>17</v>
      </c>
      <c r="BG18" t="str">
        <f t="shared" si="2"/>
        <v>2h 40m</v>
      </c>
      <c r="BH18">
        <v>9600</v>
      </c>
      <c r="BI18">
        <f t="shared" si="33"/>
        <v>0.5</v>
      </c>
      <c r="BJ18">
        <f t="shared" si="33"/>
        <v>1.1000000000000001</v>
      </c>
      <c r="BK18">
        <f>baseBetterNumbers(BK17*BJ18)</f>
        <v>670</v>
      </c>
    </row>
    <row r="19" spans="2:63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G19">
        <f t="shared" si="3"/>
        <v>10</v>
      </c>
      <c r="H19">
        <f t="shared" si="4"/>
        <v>190</v>
      </c>
      <c r="I19">
        <f t="shared" si="5"/>
        <v>20</v>
      </c>
      <c r="J19">
        <f t="shared" si="6"/>
        <v>370</v>
      </c>
      <c r="K19">
        <f t="shared" si="7"/>
        <v>1</v>
      </c>
      <c r="L19">
        <f t="shared" si="8"/>
        <v>4</v>
      </c>
      <c r="M19">
        <f t="shared" si="9"/>
        <v>1</v>
      </c>
      <c r="N19">
        <f t="shared" si="10"/>
        <v>5</v>
      </c>
      <c r="O19">
        <f t="shared" si="11"/>
        <v>1.1000000000000001</v>
      </c>
      <c r="P19">
        <f>baseBetterNumbers(P18*O19)</f>
        <v>551</v>
      </c>
      <c r="Q19">
        <f t="shared" si="12"/>
        <v>1.1000000000000001</v>
      </c>
      <c r="R19">
        <f>baseBetterNumbers(R18*Q19)</f>
        <v>231</v>
      </c>
      <c r="T19">
        <v>17</v>
      </c>
      <c r="U19">
        <v>42000</v>
      </c>
      <c r="V19">
        <v>18</v>
      </c>
      <c r="W19" t="str">
        <f t="shared" si="1"/>
        <v>2h 50m</v>
      </c>
      <c r="X19">
        <v>10200</v>
      </c>
      <c r="Y19">
        <f t="shared" si="13"/>
        <v>30</v>
      </c>
      <c r="Z19">
        <f t="shared" si="14"/>
        <v>600</v>
      </c>
      <c r="AA19">
        <f t="shared" si="15"/>
        <v>40</v>
      </c>
      <c r="AB19">
        <f t="shared" si="16"/>
        <v>790</v>
      </c>
      <c r="AC19">
        <f t="shared" si="17"/>
        <v>2</v>
      </c>
      <c r="AD19">
        <f t="shared" si="18"/>
        <v>8</v>
      </c>
      <c r="AE19">
        <f t="shared" si="19"/>
        <v>0.5</v>
      </c>
      <c r="AF19">
        <f t="shared" si="20"/>
        <v>4</v>
      </c>
      <c r="AG19">
        <f t="shared" si="21"/>
        <v>1.1000000000000001</v>
      </c>
      <c r="AH19">
        <f>baseBetterNumbers(AH18*AG19)</f>
        <v>231</v>
      </c>
      <c r="AI19">
        <f t="shared" si="22"/>
        <v>1.1000000000000001</v>
      </c>
      <c r="AJ19">
        <f>baseBetterNumbers(AJ18*AI19)</f>
        <v>690</v>
      </c>
      <c r="BD19">
        <v>17</v>
      </c>
      <c r="BE19">
        <v>8500</v>
      </c>
      <c r="BF19">
        <v>18</v>
      </c>
      <c r="BG19" t="str">
        <f t="shared" si="2"/>
        <v>2h 50m</v>
      </c>
      <c r="BH19">
        <v>10200</v>
      </c>
      <c r="BI19">
        <f t="shared" si="33"/>
        <v>0.5</v>
      </c>
      <c r="BJ19">
        <f t="shared" si="33"/>
        <v>1.1000000000000001</v>
      </c>
      <c r="BK19">
        <f>baseBetterNumbers(BK18*BJ19)</f>
        <v>737</v>
      </c>
    </row>
    <row r="20" spans="2:63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  <c r="G20">
        <f t="shared" si="3"/>
        <v>10</v>
      </c>
      <c r="H20">
        <f t="shared" si="4"/>
        <v>200</v>
      </c>
      <c r="I20">
        <f t="shared" si="5"/>
        <v>20</v>
      </c>
      <c r="J20">
        <f t="shared" si="6"/>
        <v>390</v>
      </c>
      <c r="K20">
        <f t="shared" si="7"/>
        <v>1</v>
      </c>
      <c r="L20">
        <f t="shared" si="8"/>
        <v>4</v>
      </c>
      <c r="M20">
        <f t="shared" si="9"/>
        <v>1</v>
      </c>
      <c r="N20">
        <f t="shared" si="10"/>
        <v>5</v>
      </c>
      <c r="O20">
        <f t="shared" si="11"/>
        <v>1.1000000000000001</v>
      </c>
      <c r="P20">
        <f>baseBetterNumbers(P19*O20)</f>
        <v>606</v>
      </c>
      <c r="Q20">
        <f t="shared" si="12"/>
        <v>1.1000000000000001</v>
      </c>
      <c r="R20">
        <f>baseBetterNumbers(R19*Q20)</f>
        <v>254</v>
      </c>
      <c r="BD20">
        <v>18</v>
      </c>
      <c r="BE20">
        <v>9000</v>
      </c>
      <c r="BF20">
        <v>19</v>
      </c>
      <c r="BG20" t="str">
        <f t="shared" si="2"/>
        <v>3h 0m</v>
      </c>
      <c r="BH20">
        <v>10800</v>
      </c>
      <c r="BI20">
        <f t="shared" si="33"/>
        <v>0.5</v>
      </c>
      <c r="BJ20">
        <f t="shared" si="33"/>
        <v>1.1000000000000001</v>
      </c>
      <c r="BK20">
        <f>baseBetterNumbers(BK19*BJ20)</f>
        <v>811</v>
      </c>
    </row>
    <row r="21" spans="2:63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  <c r="G21">
        <f t="shared" si="3"/>
        <v>10</v>
      </c>
      <c r="H21">
        <f t="shared" si="4"/>
        <v>210</v>
      </c>
      <c r="I21">
        <f t="shared" si="5"/>
        <v>20</v>
      </c>
      <c r="J21">
        <f t="shared" si="6"/>
        <v>410</v>
      </c>
      <c r="K21">
        <f t="shared" si="7"/>
        <v>1</v>
      </c>
      <c r="L21">
        <f t="shared" si="8"/>
        <v>4</v>
      </c>
      <c r="M21">
        <f t="shared" si="9"/>
        <v>1</v>
      </c>
      <c r="N21">
        <f t="shared" si="10"/>
        <v>5</v>
      </c>
      <c r="O21">
        <f t="shared" si="11"/>
        <v>1.1000000000000001</v>
      </c>
      <c r="P21">
        <f>baseBetterNumbers(P20*O21)</f>
        <v>667</v>
      </c>
      <c r="Q21">
        <f t="shared" si="12"/>
        <v>1.1000000000000001</v>
      </c>
      <c r="R21">
        <f>baseBetterNumbers(R20*Q21)</f>
        <v>279</v>
      </c>
      <c r="BD21">
        <v>19</v>
      </c>
      <c r="BE21">
        <v>9500</v>
      </c>
      <c r="BF21">
        <v>20</v>
      </c>
      <c r="BG21" t="str">
        <f t="shared" si="2"/>
        <v>3h 10m</v>
      </c>
      <c r="BH21">
        <v>11400</v>
      </c>
      <c r="BI21">
        <f t="shared" si="33"/>
        <v>0.5</v>
      </c>
      <c r="BJ21">
        <f t="shared" si="33"/>
        <v>1.1000000000000001</v>
      </c>
      <c r="BK21">
        <f>baseBetterNumbers(BK20*BJ21)</f>
        <v>892</v>
      </c>
    </row>
    <row r="22" spans="2:63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  <c r="G22">
        <f t="shared" si="3"/>
        <v>10</v>
      </c>
      <c r="H22">
        <f t="shared" si="4"/>
        <v>220</v>
      </c>
      <c r="I22">
        <f t="shared" si="5"/>
        <v>20</v>
      </c>
      <c r="J22">
        <f t="shared" si="6"/>
        <v>430</v>
      </c>
      <c r="K22">
        <f t="shared" si="7"/>
        <v>1</v>
      </c>
      <c r="L22">
        <f t="shared" si="8"/>
        <v>4</v>
      </c>
      <c r="M22">
        <f t="shared" si="9"/>
        <v>1</v>
      </c>
      <c r="N22">
        <f t="shared" si="10"/>
        <v>5</v>
      </c>
      <c r="O22">
        <f t="shared" si="11"/>
        <v>1.1000000000000001</v>
      </c>
      <c r="P22">
        <f>baseBetterNumbers(P21*O22)</f>
        <v>734</v>
      </c>
      <c r="Q22">
        <f t="shared" si="12"/>
        <v>1.1000000000000001</v>
      </c>
      <c r="R22">
        <f>baseBetterNumbers(R21*Q22)</f>
        <v>307</v>
      </c>
      <c r="BD22">
        <v>20</v>
      </c>
      <c r="BE22">
        <v>10000</v>
      </c>
      <c r="BF22">
        <v>21</v>
      </c>
      <c r="BG22" t="str">
        <f t="shared" si="2"/>
        <v>3h 20m</v>
      </c>
      <c r="BH22">
        <v>12000</v>
      </c>
      <c r="BI22">
        <f t="shared" si="33"/>
        <v>0.5</v>
      </c>
      <c r="BJ22">
        <v>1.02</v>
      </c>
      <c r="BK22">
        <f>baseBetterNumbers(BK21*BJ22)</f>
        <v>910</v>
      </c>
    </row>
    <row r="23" spans="2:63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  <c r="G23">
        <f t="shared" si="3"/>
        <v>10</v>
      </c>
      <c r="H23">
        <f t="shared" si="4"/>
        <v>230</v>
      </c>
      <c r="I23">
        <f t="shared" si="5"/>
        <v>20</v>
      </c>
      <c r="J23">
        <f t="shared" si="6"/>
        <v>450</v>
      </c>
      <c r="K23">
        <f t="shared" si="7"/>
        <v>1</v>
      </c>
      <c r="L23">
        <f t="shared" si="8"/>
        <v>4</v>
      </c>
      <c r="M23">
        <f t="shared" si="9"/>
        <v>1</v>
      </c>
      <c r="N23">
        <f t="shared" si="10"/>
        <v>5</v>
      </c>
      <c r="O23">
        <f t="shared" si="11"/>
        <v>1.1000000000000001</v>
      </c>
      <c r="P23">
        <f>baseBetterNumbers(P22*O23)</f>
        <v>807</v>
      </c>
      <c r="Q23">
        <f t="shared" si="12"/>
        <v>1.1000000000000001</v>
      </c>
      <c r="R23">
        <f>baseBetterNumbers(R22*Q23)</f>
        <v>338</v>
      </c>
      <c r="BD23">
        <v>21</v>
      </c>
      <c r="BE23">
        <v>10500</v>
      </c>
      <c r="BF23">
        <v>22</v>
      </c>
      <c r="BG23" t="str">
        <f t="shared" si="2"/>
        <v>3h 30m</v>
      </c>
      <c r="BH23">
        <v>12600</v>
      </c>
      <c r="BI23">
        <f t="shared" si="33"/>
        <v>0.5</v>
      </c>
      <c r="BJ23">
        <f t="shared" si="33"/>
        <v>1.02</v>
      </c>
      <c r="BK23">
        <f>baseBetterNumbers(BK22*BJ23)</f>
        <v>928</v>
      </c>
    </row>
    <row r="24" spans="2:63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  <c r="G24">
        <f t="shared" si="3"/>
        <v>10</v>
      </c>
      <c r="H24">
        <f t="shared" si="4"/>
        <v>240</v>
      </c>
      <c r="I24">
        <f t="shared" si="5"/>
        <v>20</v>
      </c>
      <c r="J24">
        <f t="shared" si="6"/>
        <v>470</v>
      </c>
      <c r="K24">
        <f t="shared" si="7"/>
        <v>1</v>
      </c>
      <c r="L24">
        <f t="shared" si="8"/>
        <v>4</v>
      </c>
      <c r="M24">
        <f t="shared" si="9"/>
        <v>1</v>
      </c>
      <c r="N24">
        <f t="shared" si="10"/>
        <v>5</v>
      </c>
      <c r="O24">
        <f t="shared" si="11"/>
        <v>1.1000000000000001</v>
      </c>
      <c r="P24">
        <f>baseBetterNumbers(P23*O24)</f>
        <v>888</v>
      </c>
      <c r="Q24">
        <f t="shared" si="12"/>
        <v>1.1000000000000001</v>
      </c>
      <c r="R24">
        <f>baseBetterNumbers(R23*Q24)</f>
        <v>372</v>
      </c>
      <c r="BD24">
        <v>22</v>
      </c>
      <c r="BE24">
        <v>11000</v>
      </c>
      <c r="BF24">
        <v>23</v>
      </c>
      <c r="BG24" t="str">
        <f t="shared" si="2"/>
        <v>3h 40m</v>
      </c>
      <c r="BH24">
        <v>13200</v>
      </c>
      <c r="BI24">
        <f t="shared" si="33"/>
        <v>0.5</v>
      </c>
      <c r="BJ24">
        <f t="shared" si="33"/>
        <v>1.02</v>
      </c>
      <c r="BK24">
        <f>baseBetterNumbers(BK23*BJ24)</f>
        <v>947</v>
      </c>
    </row>
    <row r="25" spans="2:63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  <c r="G25">
        <f t="shared" si="3"/>
        <v>10</v>
      </c>
      <c r="H25">
        <f t="shared" si="4"/>
        <v>250</v>
      </c>
      <c r="I25">
        <f t="shared" si="5"/>
        <v>20</v>
      </c>
      <c r="J25">
        <f t="shared" si="6"/>
        <v>490</v>
      </c>
      <c r="K25">
        <f t="shared" si="7"/>
        <v>1</v>
      </c>
      <c r="L25">
        <f t="shared" si="8"/>
        <v>4</v>
      </c>
      <c r="M25">
        <f t="shared" si="9"/>
        <v>1</v>
      </c>
      <c r="N25">
        <f t="shared" si="10"/>
        <v>5</v>
      </c>
      <c r="O25">
        <f t="shared" si="11"/>
        <v>1.1000000000000001</v>
      </c>
      <c r="P25">
        <f>baseBetterNumbers(P24*O25)</f>
        <v>977</v>
      </c>
      <c r="Q25">
        <f t="shared" si="12"/>
        <v>1.1000000000000001</v>
      </c>
      <c r="R25">
        <f>baseBetterNumbers(R24*Q25)</f>
        <v>409</v>
      </c>
      <c r="BD25">
        <v>23</v>
      </c>
      <c r="BE25">
        <v>11500</v>
      </c>
      <c r="BF25">
        <v>24</v>
      </c>
      <c r="BG25" t="str">
        <f t="shared" si="2"/>
        <v>3h 50m</v>
      </c>
      <c r="BH25">
        <v>13800</v>
      </c>
      <c r="BI25">
        <f t="shared" si="33"/>
        <v>0.5</v>
      </c>
      <c r="BJ25">
        <f t="shared" si="33"/>
        <v>1.02</v>
      </c>
      <c r="BK25">
        <f>baseBetterNumbers(BK24*BJ25)</f>
        <v>966</v>
      </c>
    </row>
    <row r="26" spans="2:63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  <c r="G26">
        <f t="shared" si="3"/>
        <v>10</v>
      </c>
      <c r="H26">
        <f t="shared" si="4"/>
        <v>260</v>
      </c>
      <c r="I26">
        <f t="shared" si="5"/>
        <v>20</v>
      </c>
      <c r="J26">
        <f t="shared" si="6"/>
        <v>510</v>
      </c>
      <c r="K26">
        <f t="shared" si="7"/>
        <v>1</v>
      </c>
      <c r="L26">
        <f t="shared" si="8"/>
        <v>4</v>
      </c>
      <c r="M26">
        <f t="shared" si="9"/>
        <v>1</v>
      </c>
      <c r="N26">
        <f t="shared" si="10"/>
        <v>5</v>
      </c>
      <c r="O26">
        <f t="shared" si="11"/>
        <v>1.1000000000000001</v>
      </c>
      <c r="P26">
        <f>baseBetterNumbers(P25*O26)</f>
        <v>1080</v>
      </c>
      <c r="Q26">
        <f t="shared" si="12"/>
        <v>1.1000000000000001</v>
      </c>
      <c r="R26">
        <f>baseBetterNumbers(R25*Q26)</f>
        <v>450</v>
      </c>
      <c r="BD26">
        <v>24</v>
      </c>
      <c r="BE26">
        <v>12000</v>
      </c>
      <c r="BF26">
        <v>25</v>
      </c>
      <c r="BG26" t="str">
        <f t="shared" si="2"/>
        <v>4h 0m</v>
      </c>
      <c r="BH26">
        <v>14400</v>
      </c>
      <c r="BI26">
        <f t="shared" si="33"/>
        <v>0.5</v>
      </c>
      <c r="BJ26">
        <f t="shared" si="33"/>
        <v>1.02</v>
      </c>
      <c r="BK26">
        <f>baseBetterNumbers(BK25*BJ26)</f>
        <v>985</v>
      </c>
    </row>
    <row r="27" spans="2:63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  <c r="G27">
        <f t="shared" si="3"/>
        <v>10</v>
      </c>
      <c r="H27">
        <f t="shared" si="4"/>
        <v>270</v>
      </c>
      <c r="I27">
        <f t="shared" si="5"/>
        <v>20</v>
      </c>
      <c r="J27">
        <f t="shared" si="6"/>
        <v>530</v>
      </c>
      <c r="K27">
        <f t="shared" si="7"/>
        <v>1</v>
      </c>
      <c r="L27">
        <f t="shared" si="8"/>
        <v>4</v>
      </c>
      <c r="M27">
        <f t="shared" si="9"/>
        <v>1</v>
      </c>
      <c r="N27">
        <f t="shared" si="10"/>
        <v>5</v>
      </c>
      <c r="O27">
        <f t="shared" si="11"/>
        <v>1.1000000000000001</v>
      </c>
      <c r="P27">
        <f>baseBetterNumbers(P26*O27)</f>
        <v>1190</v>
      </c>
      <c r="Q27">
        <f t="shared" si="12"/>
        <v>1.1000000000000001</v>
      </c>
      <c r="R27">
        <f>baseBetterNumbers(R26*Q27)</f>
        <v>495</v>
      </c>
      <c r="BD27">
        <v>25</v>
      </c>
      <c r="BE27">
        <v>12500</v>
      </c>
      <c r="BF27">
        <v>26</v>
      </c>
      <c r="BG27" t="str">
        <f t="shared" si="2"/>
        <v>4h 10m</v>
      </c>
      <c r="BH27">
        <v>15000</v>
      </c>
      <c r="BI27">
        <f t="shared" si="33"/>
        <v>0.5</v>
      </c>
      <c r="BJ27">
        <f t="shared" si="33"/>
        <v>1.02</v>
      </c>
      <c r="BK27">
        <f>baseBetterNumbers(BK26*BJ27)</f>
        <v>1000</v>
      </c>
    </row>
    <row r="28" spans="2:63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  <c r="G28">
        <f t="shared" si="3"/>
        <v>10</v>
      </c>
      <c r="H28">
        <f t="shared" si="4"/>
        <v>280</v>
      </c>
      <c r="I28">
        <f t="shared" si="5"/>
        <v>20</v>
      </c>
      <c r="J28">
        <f t="shared" si="6"/>
        <v>550</v>
      </c>
      <c r="K28">
        <f t="shared" si="7"/>
        <v>1</v>
      </c>
      <c r="L28">
        <f t="shared" si="8"/>
        <v>4</v>
      </c>
      <c r="M28">
        <f t="shared" si="9"/>
        <v>1</v>
      </c>
      <c r="N28">
        <f t="shared" si="10"/>
        <v>5</v>
      </c>
      <c r="O28">
        <f t="shared" si="11"/>
        <v>1.1000000000000001</v>
      </c>
      <c r="P28">
        <f>baseBetterNumbers(P27*O28)</f>
        <v>1310</v>
      </c>
      <c r="Q28">
        <f t="shared" si="12"/>
        <v>1.1000000000000001</v>
      </c>
      <c r="R28">
        <f>baseBetterNumbers(R27*Q28)</f>
        <v>544</v>
      </c>
      <c r="BD28">
        <v>26</v>
      </c>
      <c r="BE28">
        <v>13000</v>
      </c>
      <c r="BF28">
        <v>27</v>
      </c>
      <c r="BG28" t="str">
        <f t="shared" si="2"/>
        <v>4h 20m</v>
      </c>
      <c r="BH28">
        <v>15600</v>
      </c>
      <c r="BI28">
        <f t="shared" si="33"/>
        <v>0.5</v>
      </c>
      <c r="BJ28">
        <f t="shared" si="33"/>
        <v>1.02</v>
      </c>
      <c r="BK28">
        <f>baseBetterNumbers(BK27*BJ28)</f>
        <v>1020</v>
      </c>
    </row>
    <row r="29" spans="2:63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  <c r="G29">
        <f t="shared" si="3"/>
        <v>10</v>
      </c>
      <c r="H29">
        <f t="shared" si="4"/>
        <v>290</v>
      </c>
      <c r="I29">
        <f t="shared" si="5"/>
        <v>20</v>
      </c>
      <c r="J29">
        <f t="shared" si="6"/>
        <v>570</v>
      </c>
      <c r="K29">
        <f t="shared" si="7"/>
        <v>1</v>
      </c>
      <c r="L29">
        <f t="shared" si="8"/>
        <v>4</v>
      </c>
      <c r="M29">
        <f t="shared" si="9"/>
        <v>1</v>
      </c>
      <c r="N29">
        <f t="shared" si="10"/>
        <v>5</v>
      </c>
      <c r="O29">
        <f t="shared" si="11"/>
        <v>1.1000000000000001</v>
      </c>
      <c r="P29">
        <f>baseBetterNumbers(P28*O29)</f>
        <v>1440</v>
      </c>
      <c r="Q29">
        <f t="shared" si="12"/>
        <v>1.1000000000000001</v>
      </c>
      <c r="R29">
        <f>baseBetterNumbers(R28*Q29)</f>
        <v>598</v>
      </c>
      <c r="BD29">
        <v>27</v>
      </c>
      <c r="BE29">
        <v>13500</v>
      </c>
      <c r="BF29">
        <v>28</v>
      </c>
      <c r="BG29" t="str">
        <f t="shared" si="2"/>
        <v>4h 30m</v>
      </c>
      <c r="BH29">
        <v>16200</v>
      </c>
      <c r="BI29">
        <f t="shared" si="33"/>
        <v>0.5</v>
      </c>
      <c r="BJ29">
        <f t="shared" si="33"/>
        <v>1.02</v>
      </c>
      <c r="BK29">
        <f>baseBetterNumbers(BK28*BJ29)</f>
        <v>1040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E16"/>
  <sheetViews>
    <sheetView workbookViewId="0">
      <selection activeCell="AC6" sqref="AC6"/>
    </sheetView>
  </sheetViews>
  <sheetFormatPr baseColWidth="10" defaultRowHeight="15" x14ac:dyDescent="0"/>
  <cols>
    <col min="10" max="10" width="10.1640625" customWidth="1"/>
  </cols>
  <sheetData>
    <row r="1" spans="2:31">
      <c r="B1" s="73" t="s">
        <v>467</v>
      </c>
      <c r="C1" s="73"/>
      <c r="D1" s="73"/>
      <c r="E1" s="73"/>
      <c r="F1" s="73"/>
      <c r="G1" s="73"/>
      <c r="H1" s="73"/>
      <c r="I1" s="73"/>
      <c r="L1" t="s">
        <v>465</v>
      </c>
      <c r="V1" t="s">
        <v>466</v>
      </c>
    </row>
    <row r="2" spans="2:31">
      <c r="B2" s="73" t="s">
        <v>26</v>
      </c>
      <c r="C2" s="73" t="s">
        <v>133</v>
      </c>
      <c r="D2" s="73" t="s">
        <v>141</v>
      </c>
      <c r="E2" s="73" t="s">
        <v>16</v>
      </c>
      <c r="F2" s="73" t="s">
        <v>16</v>
      </c>
      <c r="G2" s="73" t="s">
        <v>455</v>
      </c>
      <c r="H2" s="73" t="s">
        <v>468</v>
      </c>
      <c r="I2" s="73" t="s">
        <v>464</v>
      </c>
      <c r="J2" t="s">
        <v>462</v>
      </c>
      <c r="L2" s="73" t="s">
        <v>26</v>
      </c>
      <c r="M2" s="73" t="s">
        <v>133</v>
      </c>
      <c r="N2" s="73" t="s">
        <v>141</v>
      </c>
      <c r="O2" s="73" t="s">
        <v>16</v>
      </c>
      <c r="P2" s="73" t="s">
        <v>16</v>
      </c>
      <c r="Q2" s="73" t="s">
        <v>455</v>
      </c>
      <c r="R2" s="73" t="s">
        <v>464</v>
      </c>
      <c r="S2" s="73" t="s">
        <v>268</v>
      </c>
      <c r="T2" t="s">
        <v>466</v>
      </c>
      <c r="V2" s="73" t="s">
        <v>26</v>
      </c>
      <c r="W2" s="73" t="s">
        <v>133</v>
      </c>
      <c r="X2" s="73" t="s">
        <v>141</v>
      </c>
      <c r="Y2" s="73" t="s">
        <v>16</v>
      </c>
      <c r="Z2" s="73" t="s">
        <v>16</v>
      </c>
      <c r="AA2" s="73" t="s">
        <v>455</v>
      </c>
      <c r="AB2" s="73" t="s">
        <v>464</v>
      </c>
      <c r="AC2" s="73" t="s">
        <v>268</v>
      </c>
      <c r="AD2" s="73" t="s">
        <v>466</v>
      </c>
    </row>
    <row r="3" spans="2:31">
      <c r="B3" s="73">
        <v>1</v>
      </c>
      <c r="C3" s="73">
        <v>5000</v>
      </c>
      <c r="D3" s="73">
        <v>2</v>
      </c>
      <c r="E3" t="str">
        <f>secToTime(F3)</f>
        <v>0h 10m</v>
      </c>
      <c r="F3" s="73">
        <v>600</v>
      </c>
      <c r="G3" s="73">
        <v>7</v>
      </c>
      <c r="H3" s="73">
        <v>0.5</v>
      </c>
      <c r="I3" s="73">
        <v>5</v>
      </c>
      <c r="J3" s="73">
        <v>400</v>
      </c>
      <c r="L3" s="73">
        <v>1</v>
      </c>
      <c r="M3" s="73">
        <v>5000</v>
      </c>
      <c r="N3" s="73">
        <v>2</v>
      </c>
      <c r="O3" t="str">
        <f>secToTime(P3)</f>
        <v>0h 10m</v>
      </c>
      <c r="P3" s="73">
        <v>600</v>
      </c>
      <c r="Q3" s="73">
        <v>10</v>
      </c>
      <c r="R3" s="73">
        <v>2</v>
      </c>
      <c r="S3" s="73">
        <v>3</v>
      </c>
      <c r="T3" s="73">
        <v>100</v>
      </c>
      <c r="V3" s="73">
        <v>1</v>
      </c>
      <c r="W3" s="73">
        <v>5000</v>
      </c>
      <c r="X3" s="73">
        <v>2</v>
      </c>
      <c r="Y3" t="str">
        <f>secToTime(Z3)</f>
        <v>0h 10m</v>
      </c>
      <c r="Z3" s="73">
        <v>600</v>
      </c>
      <c r="AA3" s="73">
        <v>12</v>
      </c>
      <c r="AB3" s="73">
        <v>2</v>
      </c>
      <c r="AC3" s="73">
        <v>3</v>
      </c>
      <c r="AD3" s="73">
        <v>3</v>
      </c>
      <c r="AE3" s="73"/>
    </row>
    <row r="4" spans="2:31">
      <c r="B4" s="73">
        <v>2</v>
      </c>
      <c r="C4" s="73">
        <v>10000</v>
      </c>
      <c r="D4" s="73">
        <v>3</v>
      </c>
      <c r="E4" t="str">
        <f t="shared" ref="E4:E16" si="0">secToTime(F4)</f>
        <v>0h 20m</v>
      </c>
      <c r="F4" s="73">
        <v>1200</v>
      </c>
      <c r="G4" s="73">
        <v>7</v>
      </c>
      <c r="H4" s="73">
        <f>H3</f>
        <v>0.5</v>
      </c>
      <c r="I4" s="73">
        <f>I3</f>
        <v>5</v>
      </c>
      <c r="J4">
        <f>50+J3</f>
        <v>450</v>
      </c>
      <c r="L4" s="73">
        <v>2</v>
      </c>
      <c r="M4" s="73">
        <v>10000</v>
      </c>
      <c r="N4" s="73">
        <v>3</v>
      </c>
      <c r="O4" t="str">
        <f t="shared" ref="O4:O12" si="1">secToTime(P4)</f>
        <v>0h 20m</v>
      </c>
      <c r="P4" s="73">
        <v>1200</v>
      </c>
      <c r="Q4" s="73">
        <v>10</v>
      </c>
      <c r="R4" s="73">
        <v>2</v>
      </c>
      <c r="S4" s="73">
        <f>S3+0.5</f>
        <v>3.5</v>
      </c>
      <c r="T4">
        <f>T3+50</f>
        <v>150</v>
      </c>
      <c r="V4" s="73">
        <v>2</v>
      </c>
      <c r="W4" s="73">
        <v>10000</v>
      </c>
      <c r="X4" s="73">
        <v>3</v>
      </c>
      <c r="Y4" t="str">
        <f t="shared" ref="Y4:Y8" si="2">secToTime(Z4)</f>
        <v>0h 20m</v>
      </c>
      <c r="Z4" s="73">
        <v>1200</v>
      </c>
      <c r="AA4" s="73">
        <v>12</v>
      </c>
      <c r="AB4" s="73">
        <v>2</v>
      </c>
      <c r="AC4" s="73">
        <f>AC3+0.5</f>
        <v>3.5</v>
      </c>
      <c r="AD4" s="73">
        <f>AD3+0.5</f>
        <v>3.5</v>
      </c>
    </row>
    <row r="5" spans="2:31">
      <c r="B5" s="73">
        <v>3</v>
      </c>
      <c r="C5" s="73">
        <v>15000</v>
      </c>
      <c r="D5" s="73">
        <v>4</v>
      </c>
      <c r="E5" t="str">
        <f t="shared" si="0"/>
        <v>0h 30m</v>
      </c>
      <c r="F5" s="73">
        <v>1800</v>
      </c>
      <c r="G5" s="73">
        <v>7</v>
      </c>
      <c r="H5" s="73">
        <f t="shared" ref="H5:H16" si="3">H4</f>
        <v>0.5</v>
      </c>
      <c r="I5" s="73">
        <f t="shared" ref="I5:I16" si="4">I4</f>
        <v>5</v>
      </c>
      <c r="J5">
        <f t="shared" ref="J5:J9" si="5">50+J4</f>
        <v>500</v>
      </c>
      <c r="L5" s="73">
        <v>3</v>
      </c>
      <c r="M5" s="73">
        <v>15000</v>
      </c>
      <c r="N5" s="73">
        <v>4</v>
      </c>
      <c r="O5" t="str">
        <f t="shared" si="1"/>
        <v>0h 30m</v>
      </c>
      <c r="P5" s="73">
        <v>1800</v>
      </c>
      <c r="Q5" s="73">
        <v>10</v>
      </c>
      <c r="R5" s="73">
        <v>2</v>
      </c>
      <c r="S5" s="73">
        <f t="shared" ref="S5:S12" si="6">S4+0.5</f>
        <v>4</v>
      </c>
      <c r="T5">
        <f t="shared" ref="T5:T12" si="7">T4+50</f>
        <v>200</v>
      </c>
      <c r="V5" s="73">
        <v>3</v>
      </c>
      <c r="W5" s="73">
        <v>15000</v>
      </c>
      <c r="X5" s="73">
        <v>4</v>
      </c>
      <c r="Y5" t="str">
        <f t="shared" si="2"/>
        <v>0h 30m</v>
      </c>
      <c r="Z5" s="73">
        <v>1800</v>
      </c>
      <c r="AA5" s="73">
        <v>12</v>
      </c>
      <c r="AB5" s="73">
        <v>2</v>
      </c>
      <c r="AC5" s="73">
        <f t="shared" ref="AC5:AC8" si="8">AC4+0.5</f>
        <v>4</v>
      </c>
      <c r="AD5" s="73">
        <f t="shared" ref="AD5:AD8" si="9">AD4+0.5</f>
        <v>4</v>
      </c>
    </row>
    <row r="6" spans="2:31">
      <c r="B6" s="73">
        <v>4</v>
      </c>
      <c r="C6" s="73">
        <v>20000</v>
      </c>
      <c r="D6" s="73">
        <v>5</v>
      </c>
      <c r="E6" t="str">
        <f t="shared" si="0"/>
        <v>0h 40m</v>
      </c>
      <c r="F6" s="73">
        <v>2400</v>
      </c>
      <c r="G6" s="73">
        <v>7</v>
      </c>
      <c r="H6" s="73">
        <f t="shared" si="3"/>
        <v>0.5</v>
      </c>
      <c r="I6" s="73">
        <f t="shared" si="4"/>
        <v>5</v>
      </c>
      <c r="J6">
        <f t="shared" si="5"/>
        <v>550</v>
      </c>
      <c r="L6" s="73">
        <v>4</v>
      </c>
      <c r="M6" s="73">
        <v>20000</v>
      </c>
      <c r="N6" s="73">
        <v>5</v>
      </c>
      <c r="O6" t="str">
        <f t="shared" si="1"/>
        <v>0h 40m</v>
      </c>
      <c r="P6" s="73">
        <v>2400</v>
      </c>
      <c r="Q6" s="73">
        <v>10</v>
      </c>
      <c r="R6" s="73">
        <v>2</v>
      </c>
      <c r="S6" s="73">
        <f t="shared" si="6"/>
        <v>4.5</v>
      </c>
      <c r="T6">
        <f t="shared" si="7"/>
        <v>250</v>
      </c>
      <c r="V6" s="73">
        <v>4</v>
      </c>
      <c r="W6" s="73">
        <v>20000</v>
      </c>
      <c r="X6" s="73">
        <v>5</v>
      </c>
      <c r="Y6" t="str">
        <f t="shared" si="2"/>
        <v>0h 40m</v>
      </c>
      <c r="Z6" s="73">
        <v>2400</v>
      </c>
      <c r="AA6" s="73">
        <v>12</v>
      </c>
      <c r="AB6" s="73">
        <v>2</v>
      </c>
      <c r="AC6" s="73">
        <f t="shared" si="8"/>
        <v>4.5</v>
      </c>
      <c r="AD6" s="73">
        <f t="shared" si="9"/>
        <v>4.5</v>
      </c>
    </row>
    <row r="7" spans="2:31">
      <c r="B7" s="73">
        <v>5</v>
      </c>
      <c r="C7" s="73">
        <v>25000</v>
      </c>
      <c r="D7" s="73">
        <v>6</v>
      </c>
      <c r="E7" t="str">
        <f t="shared" si="0"/>
        <v>0h 50m</v>
      </c>
      <c r="F7" s="73">
        <v>3000</v>
      </c>
      <c r="G7" s="73">
        <v>7</v>
      </c>
      <c r="H7" s="73">
        <f t="shared" si="3"/>
        <v>0.5</v>
      </c>
      <c r="I7" s="73">
        <f t="shared" si="4"/>
        <v>5</v>
      </c>
      <c r="J7">
        <f t="shared" si="5"/>
        <v>600</v>
      </c>
      <c r="L7" s="73">
        <v>5</v>
      </c>
      <c r="M7" s="73">
        <v>25000</v>
      </c>
      <c r="N7" s="73">
        <v>6</v>
      </c>
      <c r="O7" t="str">
        <f t="shared" si="1"/>
        <v>0h 50m</v>
      </c>
      <c r="P7" s="73">
        <v>3000</v>
      </c>
      <c r="Q7" s="73">
        <v>10</v>
      </c>
      <c r="R7" s="73">
        <v>2</v>
      </c>
      <c r="S7" s="73">
        <f t="shared" si="6"/>
        <v>5</v>
      </c>
      <c r="T7">
        <f t="shared" si="7"/>
        <v>300</v>
      </c>
      <c r="V7" s="73">
        <v>5</v>
      </c>
      <c r="W7" s="73">
        <v>25000</v>
      </c>
      <c r="X7" s="73">
        <v>6</v>
      </c>
      <c r="Y7" t="str">
        <f t="shared" si="2"/>
        <v>0h 50m</v>
      </c>
      <c r="Z7" s="73">
        <v>3000</v>
      </c>
      <c r="AA7" s="73">
        <v>12</v>
      </c>
      <c r="AB7" s="73">
        <v>2</v>
      </c>
      <c r="AC7" s="73">
        <f t="shared" si="8"/>
        <v>5</v>
      </c>
      <c r="AD7" s="73">
        <f t="shared" si="9"/>
        <v>5</v>
      </c>
    </row>
    <row r="8" spans="2:31">
      <c r="B8" s="73">
        <v>6</v>
      </c>
      <c r="C8" s="73">
        <v>30000</v>
      </c>
      <c r="D8" s="73">
        <v>7</v>
      </c>
      <c r="E8" t="str">
        <f t="shared" si="0"/>
        <v>1h 0m</v>
      </c>
      <c r="F8" s="73">
        <v>3600</v>
      </c>
      <c r="G8" s="73">
        <v>7</v>
      </c>
      <c r="H8" s="73">
        <f t="shared" si="3"/>
        <v>0.5</v>
      </c>
      <c r="I8" s="73">
        <f t="shared" si="4"/>
        <v>5</v>
      </c>
      <c r="J8">
        <f t="shared" si="5"/>
        <v>650</v>
      </c>
      <c r="L8" s="73">
        <v>6</v>
      </c>
      <c r="M8" s="73">
        <v>30000</v>
      </c>
      <c r="N8" s="73">
        <v>7</v>
      </c>
      <c r="O8" t="str">
        <f t="shared" si="1"/>
        <v>1h 0m</v>
      </c>
      <c r="P8" s="73">
        <v>3600</v>
      </c>
      <c r="Q8" s="73">
        <v>10</v>
      </c>
      <c r="R8" s="73">
        <v>2</v>
      </c>
      <c r="S8" s="73">
        <f t="shared" si="6"/>
        <v>5.5</v>
      </c>
      <c r="T8">
        <f t="shared" si="7"/>
        <v>350</v>
      </c>
      <c r="V8" s="73">
        <v>6</v>
      </c>
      <c r="W8" s="73">
        <v>30000</v>
      </c>
      <c r="X8" s="73">
        <v>7</v>
      </c>
      <c r="Y8" t="str">
        <f t="shared" si="2"/>
        <v>1h 0m</v>
      </c>
      <c r="Z8" s="73">
        <v>3600</v>
      </c>
      <c r="AA8" s="73">
        <v>12</v>
      </c>
      <c r="AB8" s="73">
        <v>2</v>
      </c>
      <c r="AC8" s="73">
        <f t="shared" si="8"/>
        <v>5.5</v>
      </c>
      <c r="AD8" s="73">
        <f t="shared" si="9"/>
        <v>5.5</v>
      </c>
    </row>
    <row r="9" spans="2:31">
      <c r="B9" s="73">
        <v>7</v>
      </c>
      <c r="C9" s="73">
        <v>35000</v>
      </c>
      <c r="D9" s="73">
        <v>8</v>
      </c>
      <c r="E9" t="str">
        <f t="shared" si="0"/>
        <v>1h 10m</v>
      </c>
      <c r="F9" s="73">
        <v>4200</v>
      </c>
      <c r="G9" s="73">
        <v>7</v>
      </c>
      <c r="H9" s="73">
        <f t="shared" si="3"/>
        <v>0.5</v>
      </c>
      <c r="I9" s="73">
        <f t="shared" si="4"/>
        <v>5</v>
      </c>
      <c r="J9">
        <f t="shared" si="5"/>
        <v>700</v>
      </c>
      <c r="L9" s="73">
        <v>7</v>
      </c>
      <c r="M9" s="73">
        <v>35000</v>
      </c>
      <c r="N9" s="73">
        <v>8</v>
      </c>
      <c r="O9" t="str">
        <f t="shared" si="1"/>
        <v>1h 10m</v>
      </c>
      <c r="P9" s="73">
        <v>4200</v>
      </c>
      <c r="Q9" s="73">
        <v>10</v>
      </c>
      <c r="R9" s="73">
        <v>2</v>
      </c>
      <c r="S9" s="73">
        <f t="shared" si="6"/>
        <v>6</v>
      </c>
      <c r="T9">
        <f t="shared" si="7"/>
        <v>400</v>
      </c>
    </row>
    <row r="10" spans="2:31">
      <c r="B10" s="73">
        <v>8</v>
      </c>
      <c r="C10" s="73">
        <v>40000</v>
      </c>
      <c r="D10" s="73">
        <v>9</v>
      </c>
      <c r="E10" t="str">
        <f t="shared" si="0"/>
        <v>1h 20m</v>
      </c>
      <c r="F10" s="73">
        <v>4800</v>
      </c>
      <c r="G10" s="73">
        <v>7</v>
      </c>
      <c r="H10" s="73">
        <f t="shared" si="3"/>
        <v>0.5</v>
      </c>
      <c r="I10" s="73">
        <f t="shared" si="4"/>
        <v>5</v>
      </c>
      <c r="J10">
        <f t="shared" ref="J10:J16" si="10">50+J9</f>
        <v>750</v>
      </c>
      <c r="L10" s="73">
        <v>8</v>
      </c>
      <c r="M10" s="73">
        <v>40000</v>
      </c>
      <c r="N10" s="73">
        <v>9</v>
      </c>
      <c r="O10" t="str">
        <f t="shared" si="1"/>
        <v>1h 20m</v>
      </c>
      <c r="P10" s="73">
        <v>4800</v>
      </c>
      <c r="Q10" s="73">
        <v>10</v>
      </c>
      <c r="R10" s="73">
        <v>2</v>
      </c>
      <c r="S10" s="73">
        <f t="shared" si="6"/>
        <v>6.5</v>
      </c>
      <c r="T10">
        <f t="shared" si="7"/>
        <v>450</v>
      </c>
    </row>
    <row r="11" spans="2:31">
      <c r="B11" s="73">
        <v>9</v>
      </c>
      <c r="C11" s="73">
        <v>45000</v>
      </c>
      <c r="D11" s="73">
        <v>10</v>
      </c>
      <c r="E11" t="str">
        <f t="shared" si="0"/>
        <v>1h 30m</v>
      </c>
      <c r="F11" s="73">
        <v>5400</v>
      </c>
      <c r="G11" s="73">
        <v>7</v>
      </c>
      <c r="H11" s="73">
        <f t="shared" si="3"/>
        <v>0.5</v>
      </c>
      <c r="I11" s="73">
        <f t="shared" si="4"/>
        <v>5</v>
      </c>
      <c r="J11">
        <f t="shared" si="10"/>
        <v>800</v>
      </c>
      <c r="L11" s="73">
        <v>9</v>
      </c>
      <c r="M11" s="73">
        <v>45000</v>
      </c>
      <c r="N11" s="73">
        <v>10</v>
      </c>
      <c r="O11" t="str">
        <f t="shared" si="1"/>
        <v>1h 30m</v>
      </c>
      <c r="P11" s="73">
        <v>5400</v>
      </c>
      <c r="Q11" s="73">
        <v>10</v>
      </c>
      <c r="R11" s="73">
        <v>2</v>
      </c>
      <c r="S11" s="73">
        <f t="shared" si="6"/>
        <v>7</v>
      </c>
      <c r="T11">
        <f t="shared" si="7"/>
        <v>500</v>
      </c>
    </row>
    <row r="12" spans="2:31">
      <c r="B12" s="73">
        <v>10</v>
      </c>
      <c r="C12" s="73">
        <v>50000</v>
      </c>
      <c r="D12" s="73">
        <v>11</v>
      </c>
      <c r="E12" t="str">
        <f t="shared" si="0"/>
        <v>1h 40m</v>
      </c>
      <c r="F12" s="73">
        <v>6000</v>
      </c>
      <c r="G12" s="73">
        <v>7</v>
      </c>
      <c r="H12" s="73">
        <f t="shared" si="3"/>
        <v>0.5</v>
      </c>
      <c r="I12" s="73">
        <f t="shared" si="4"/>
        <v>5</v>
      </c>
      <c r="J12">
        <f t="shared" si="10"/>
        <v>850</v>
      </c>
      <c r="L12" s="73">
        <v>10</v>
      </c>
      <c r="M12" s="73">
        <v>50000</v>
      </c>
      <c r="N12" s="73">
        <v>11</v>
      </c>
      <c r="O12" t="str">
        <f t="shared" si="1"/>
        <v>1h 40m</v>
      </c>
      <c r="P12" s="73">
        <v>6000</v>
      </c>
      <c r="Q12" s="73">
        <v>10</v>
      </c>
      <c r="R12" s="73">
        <v>2</v>
      </c>
      <c r="S12" s="73">
        <f t="shared" si="6"/>
        <v>7.5</v>
      </c>
      <c r="T12">
        <f t="shared" si="7"/>
        <v>550</v>
      </c>
    </row>
    <row r="13" spans="2:31">
      <c r="B13" s="73">
        <v>11</v>
      </c>
      <c r="C13" s="73">
        <v>55000</v>
      </c>
      <c r="D13" s="73">
        <v>12</v>
      </c>
      <c r="E13" t="str">
        <f t="shared" si="0"/>
        <v>1h 50m</v>
      </c>
      <c r="F13" s="73">
        <v>6600</v>
      </c>
      <c r="G13" s="73">
        <v>7</v>
      </c>
      <c r="H13" s="73">
        <f t="shared" si="3"/>
        <v>0.5</v>
      </c>
      <c r="I13" s="73">
        <f t="shared" si="4"/>
        <v>5</v>
      </c>
      <c r="J13">
        <f t="shared" si="10"/>
        <v>900</v>
      </c>
    </row>
    <row r="14" spans="2:31">
      <c r="B14" s="73">
        <v>12</v>
      </c>
      <c r="C14" s="73">
        <v>60000</v>
      </c>
      <c r="D14" s="73">
        <v>13</v>
      </c>
      <c r="E14" t="str">
        <f t="shared" si="0"/>
        <v>2h 0m</v>
      </c>
      <c r="F14" s="73">
        <v>7200</v>
      </c>
      <c r="G14" s="73">
        <v>7</v>
      </c>
      <c r="H14" s="73">
        <f t="shared" si="3"/>
        <v>0.5</v>
      </c>
      <c r="I14" s="73">
        <f t="shared" si="4"/>
        <v>5</v>
      </c>
      <c r="J14">
        <f t="shared" si="10"/>
        <v>950</v>
      </c>
    </row>
    <row r="15" spans="2:31">
      <c r="B15" s="73">
        <v>13</v>
      </c>
      <c r="C15" s="73">
        <v>65000</v>
      </c>
      <c r="D15" s="73">
        <v>14</v>
      </c>
      <c r="E15" t="str">
        <f t="shared" si="0"/>
        <v>2h 10m</v>
      </c>
      <c r="F15" s="73">
        <v>7800</v>
      </c>
      <c r="G15" s="73">
        <v>7</v>
      </c>
      <c r="H15" s="73">
        <f t="shared" si="3"/>
        <v>0.5</v>
      </c>
      <c r="I15" s="73">
        <f t="shared" si="4"/>
        <v>5</v>
      </c>
      <c r="J15">
        <f t="shared" si="10"/>
        <v>1000</v>
      </c>
    </row>
    <row r="16" spans="2:31">
      <c r="B16" s="73">
        <v>14</v>
      </c>
      <c r="C16" s="73">
        <v>70000</v>
      </c>
      <c r="D16" s="73">
        <v>15</v>
      </c>
      <c r="E16" t="str">
        <f t="shared" si="0"/>
        <v>2h 20m</v>
      </c>
      <c r="F16" s="73">
        <v>8400</v>
      </c>
      <c r="G16" s="73">
        <v>7</v>
      </c>
      <c r="H16" s="73">
        <f t="shared" si="3"/>
        <v>0.5</v>
      </c>
      <c r="I16" s="73">
        <f t="shared" si="4"/>
        <v>5</v>
      </c>
      <c r="J16">
        <f t="shared" si="10"/>
        <v>1050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8"/>
  <sheetViews>
    <sheetView topLeftCell="A30" workbookViewId="0">
      <selection activeCell="A52" sqref="A52"/>
    </sheetView>
  </sheetViews>
  <sheetFormatPr baseColWidth="10" defaultRowHeight="15" x14ac:dyDescent="0"/>
  <cols>
    <col min="1" max="1" width="21.83203125" customWidth="1"/>
    <col min="2" max="2" width="21.5" customWidth="1"/>
    <col min="3" max="3" width="10.83203125" style="102"/>
    <col min="5" max="5" width="21.33203125" customWidth="1"/>
    <col min="6" max="6" width="21.6640625" customWidth="1"/>
    <col min="7" max="7" width="10.83203125" style="102"/>
  </cols>
  <sheetData>
    <row r="1" spans="1:7">
      <c r="A1" t="s">
        <v>498</v>
      </c>
      <c r="B1" t="s">
        <v>471</v>
      </c>
      <c r="C1" s="102">
        <v>10</v>
      </c>
      <c r="E1" t="s">
        <v>483</v>
      </c>
      <c r="F1" t="s">
        <v>471</v>
      </c>
      <c r="G1" s="102">
        <v>10</v>
      </c>
    </row>
    <row r="2" spans="1:7">
      <c r="B2" t="s">
        <v>472</v>
      </c>
      <c r="C2" s="102" t="s">
        <v>506</v>
      </c>
      <c r="F2" t="s">
        <v>472</v>
      </c>
      <c r="G2" s="102" t="s">
        <v>506</v>
      </c>
    </row>
    <row r="5" spans="1:7">
      <c r="A5" t="s">
        <v>499</v>
      </c>
      <c r="B5" t="s">
        <v>471</v>
      </c>
      <c r="C5" s="102">
        <v>15</v>
      </c>
      <c r="E5" t="s">
        <v>484</v>
      </c>
      <c r="F5" t="s">
        <v>471</v>
      </c>
      <c r="G5" s="102">
        <v>15</v>
      </c>
    </row>
    <row r="6" spans="1:7">
      <c r="B6" t="s">
        <v>472</v>
      </c>
      <c r="C6" s="102" t="s">
        <v>507</v>
      </c>
      <c r="F6" t="s">
        <v>472</v>
      </c>
      <c r="G6" s="102" t="s">
        <v>507</v>
      </c>
    </row>
    <row r="9" spans="1:7">
      <c r="A9" t="s">
        <v>473</v>
      </c>
      <c r="B9" t="s">
        <v>475</v>
      </c>
      <c r="C9" s="102">
        <v>10</v>
      </c>
      <c r="E9" t="s">
        <v>485</v>
      </c>
      <c r="F9" t="s">
        <v>476</v>
      </c>
      <c r="G9" s="102">
        <v>10</v>
      </c>
    </row>
    <row r="10" spans="1:7">
      <c r="B10" t="s">
        <v>472</v>
      </c>
      <c r="C10" s="102" t="s">
        <v>506</v>
      </c>
      <c r="F10" t="s">
        <v>472</v>
      </c>
      <c r="G10" s="102" t="s">
        <v>506</v>
      </c>
    </row>
    <row r="13" spans="1:7">
      <c r="A13" t="s">
        <v>474</v>
      </c>
      <c r="B13" t="s">
        <v>475</v>
      </c>
      <c r="C13" s="102">
        <v>15</v>
      </c>
      <c r="E13" t="s">
        <v>486</v>
      </c>
      <c r="F13" t="s">
        <v>476</v>
      </c>
      <c r="G13" s="102">
        <v>15</v>
      </c>
    </row>
    <row r="14" spans="1:7">
      <c r="B14" t="s">
        <v>472</v>
      </c>
      <c r="C14" s="102" t="s">
        <v>507</v>
      </c>
      <c r="F14" t="s">
        <v>472</v>
      </c>
      <c r="G14" s="102" t="s">
        <v>507</v>
      </c>
    </row>
    <row r="17" spans="1:7">
      <c r="A17" t="s">
        <v>500</v>
      </c>
      <c r="B17" t="s">
        <v>476</v>
      </c>
      <c r="C17" s="102">
        <v>10</v>
      </c>
      <c r="E17" t="s">
        <v>487</v>
      </c>
      <c r="F17" t="s">
        <v>477</v>
      </c>
      <c r="G17" s="102">
        <v>10</v>
      </c>
    </row>
    <row r="18" spans="1:7">
      <c r="B18" t="s">
        <v>472</v>
      </c>
      <c r="C18" s="102" t="s">
        <v>506</v>
      </c>
      <c r="F18" t="s">
        <v>472</v>
      </c>
      <c r="G18" s="102" t="s">
        <v>506</v>
      </c>
    </row>
    <row r="19" spans="1:7">
      <c r="B19" t="s">
        <v>491</v>
      </c>
      <c r="C19" s="102" t="s">
        <v>29</v>
      </c>
    </row>
    <row r="21" spans="1:7">
      <c r="E21" t="s">
        <v>488</v>
      </c>
      <c r="F21" t="s">
        <v>477</v>
      </c>
      <c r="G21" s="102">
        <v>15</v>
      </c>
    </row>
    <row r="22" spans="1:7">
      <c r="A22" t="s">
        <v>501</v>
      </c>
      <c r="B22" t="s">
        <v>476</v>
      </c>
      <c r="C22" s="102">
        <v>15</v>
      </c>
      <c r="F22" t="s">
        <v>472</v>
      </c>
      <c r="G22" s="102" t="s">
        <v>507</v>
      </c>
    </row>
    <row r="23" spans="1:7">
      <c r="B23" t="s">
        <v>472</v>
      </c>
      <c r="C23" s="102" t="s">
        <v>507</v>
      </c>
    </row>
    <row r="24" spans="1:7">
      <c r="B24" t="s">
        <v>491</v>
      </c>
      <c r="C24" s="102" t="s">
        <v>29</v>
      </c>
    </row>
    <row r="25" spans="1:7">
      <c r="E25" t="s">
        <v>489</v>
      </c>
      <c r="F25" t="s">
        <v>478</v>
      </c>
      <c r="G25" s="102">
        <v>10</v>
      </c>
    </row>
    <row r="26" spans="1:7">
      <c r="F26" t="s">
        <v>472</v>
      </c>
      <c r="G26" s="102" t="s">
        <v>507</v>
      </c>
    </row>
    <row r="27" spans="1:7">
      <c r="A27" t="s">
        <v>502</v>
      </c>
      <c r="B27" t="s">
        <v>477</v>
      </c>
      <c r="C27" s="102">
        <v>10</v>
      </c>
    </row>
    <row r="28" spans="1:7">
      <c r="B28" t="s">
        <v>472</v>
      </c>
      <c r="C28" s="102" t="s">
        <v>506</v>
      </c>
    </row>
    <row r="29" spans="1:7">
      <c r="E29" t="s">
        <v>490</v>
      </c>
      <c r="F29" t="s">
        <v>478</v>
      </c>
      <c r="G29" s="102">
        <v>15</v>
      </c>
    </row>
    <row r="30" spans="1:7">
      <c r="F30" t="s">
        <v>472</v>
      </c>
      <c r="G30" s="102">
        <v>1</v>
      </c>
    </row>
    <row r="31" spans="1:7">
      <c r="A31" t="s">
        <v>503</v>
      </c>
      <c r="B31" t="s">
        <v>477</v>
      </c>
      <c r="C31" s="102">
        <v>15</v>
      </c>
    </row>
    <row r="32" spans="1:7">
      <c r="B32" t="s">
        <v>472</v>
      </c>
      <c r="C32" s="102" t="s">
        <v>507</v>
      </c>
      <c r="E32" t="s">
        <v>493</v>
      </c>
      <c r="F32" t="s">
        <v>470</v>
      </c>
      <c r="G32" s="102" t="s">
        <v>495</v>
      </c>
    </row>
    <row r="33" spans="1:7">
      <c r="F33" t="s">
        <v>493</v>
      </c>
      <c r="G33" s="102">
        <v>1</v>
      </c>
    </row>
    <row r="34" spans="1:7">
      <c r="F34" t="s">
        <v>472</v>
      </c>
      <c r="G34" s="102" t="s">
        <v>507</v>
      </c>
    </row>
    <row r="35" spans="1:7">
      <c r="A35" t="s">
        <v>504</v>
      </c>
      <c r="B35" t="s">
        <v>478</v>
      </c>
      <c r="C35" s="102">
        <v>10</v>
      </c>
    </row>
    <row r="36" spans="1:7">
      <c r="B36" t="s">
        <v>472</v>
      </c>
      <c r="C36" s="102" t="s">
        <v>506</v>
      </c>
      <c r="E36" t="s">
        <v>494</v>
      </c>
      <c r="F36" t="s">
        <v>494</v>
      </c>
      <c r="G36" s="102">
        <v>1</v>
      </c>
    </row>
    <row r="37" spans="1:7">
      <c r="F37" t="s">
        <v>472</v>
      </c>
      <c r="G37" s="102" t="s">
        <v>508</v>
      </c>
    </row>
    <row r="39" spans="1:7">
      <c r="A39" t="s">
        <v>505</v>
      </c>
      <c r="B39" t="s">
        <v>478</v>
      </c>
      <c r="C39" s="102">
        <v>15</v>
      </c>
      <c r="E39" t="s">
        <v>496</v>
      </c>
      <c r="F39" t="s">
        <v>470</v>
      </c>
      <c r="G39" s="102" t="s">
        <v>12</v>
      </c>
    </row>
    <row r="40" spans="1:7">
      <c r="B40" t="s">
        <v>472</v>
      </c>
      <c r="C40" s="102" t="s">
        <v>508</v>
      </c>
      <c r="F40" t="s">
        <v>496</v>
      </c>
      <c r="G40" s="102">
        <v>1</v>
      </c>
    </row>
    <row r="41" spans="1:7">
      <c r="F41" t="s">
        <v>472</v>
      </c>
      <c r="G41" s="102" t="s">
        <v>508</v>
      </c>
    </row>
    <row r="43" spans="1:7">
      <c r="A43" t="s">
        <v>479</v>
      </c>
      <c r="B43" t="s">
        <v>479</v>
      </c>
      <c r="C43" s="102">
        <v>1</v>
      </c>
      <c r="E43" t="s">
        <v>497</v>
      </c>
      <c r="F43" t="s">
        <v>470</v>
      </c>
      <c r="G43" s="102" t="s">
        <v>11</v>
      </c>
    </row>
    <row r="44" spans="1:7">
      <c r="B44" t="s">
        <v>472</v>
      </c>
      <c r="C44" s="102" t="s">
        <v>509</v>
      </c>
      <c r="F44" t="s">
        <v>497</v>
      </c>
      <c r="G44" s="102" t="s">
        <v>508</v>
      </c>
    </row>
    <row r="47" spans="1:7">
      <c r="A47" t="s">
        <v>480</v>
      </c>
      <c r="B47" t="s">
        <v>470</v>
      </c>
      <c r="C47" s="102" t="s">
        <v>139</v>
      </c>
    </row>
    <row r="48" spans="1:7">
      <c r="B48" t="s">
        <v>480</v>
      </c>
      <c r="C48" s="102">
        <v>1</v>
      </c>
    </row>
    <row r="49" spans="1:3">
      <c r="B49" t="s">
        <v>472</v>
      </c>
      <c r="C49" s="102" t="s">
        <v>508</v>
      </c>
    </row>
    <row r="52" spans="1:3">
      <c r="A52" t="s">
        <v>481</v>
      </c>
      <c r="B52" t="s">
        <v>481</v>
      </c>
      <c r="C52" s="102">
        <v>1</v>
      </c>
    </row>
    <row r="53" spans="1:3">
      <c r="B53" t="s">
        <v>472</v>
      </c>
      <c r="C53" s="102" t="s">
        <v>508</v>
      </c>
    </row>
    <row r="56" spans="1:3">
      <c r="A56" t="s">
        <v>482</v>
      </c>
      <c r="B56" t="s">
        <v>482</v>
      </c>
      <c r="C56" s="102">
        <v>1</v>
      </c>
    </row>
    <row r="57" spans="1:3">
      <c r="B57" t="s">
        <v>492</v>
      </c>
      <c r="C57" s="102">
        <v>1</v>
      </c>
    </row>
    <row r="58" spans="1:3">
      <c r="B58" t="s">
        <v>472</v>
      </c>
      <c r="C58" s="102" t="s">
        <v>507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Numbers</vt:lpstr>
      <vt:lpstr>Missions</vt:lpstr>
      <vt:lpstr>ms</vt:lpstr>
      <vt:lpstr>Bots</vt:lpstr>
      <vt:lpstr>Conf</vt:lpstr>
      <vt:lpstr>Levels</vt:lpstr>
      <vt:lpstr>codeLevels</vt:lpstr>
      <vt:lpstr>Quests</vt:lpstr>
      <vt:lpstr>Chests</vt:lpstr>
      <vt:lpstr>CodedChest</vt:lpstr>
      <vt:lpstr>BlitzCoin</vt:lpstr>
      <vt:lpstr>Battle</vt:lpstr>
      <vt:lpstr>Units</vt:lpstr>
      <vt:lpstr>Flagman</vt:lpstr>
      <vt:lpstr>Modules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2019-06-19T11:16:03Z</dcterms:modified>
</cp:coreProperties>
</file>