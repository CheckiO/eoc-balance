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autoCompressPictures="0"/>
  <bookViews>
    <workbookView xWindow="780" yWindow="0" windowWidth="22520" windowHeight="14900" tabRatio="500" firstSheet="6" activeTab="12"/>
  </bookViews>
  <sheets>
    <sheet name="Numbers" sheetId="1" r:id="rId1"/>
    <sheet name="Missions" sheetId="7" r:id="rId2"/>
    <sheet name="ms" sheetId="14" r:id="rId3"/>
    <sheet name="Bots" sheetId="8" r:id="rId4"/>
    <sheet name="Conf" sheetId="3" r:id="rId5"/>
    <sheet name="Levels" sheetId="4" r:id="rId6"/>
    <sheet name="codeLevels" sheetId="5" r:id="rId7"/>
    <sheet name="Quests" sheetId="10" r:id="rId8"/>
    <sheet name="Chests" sheetId="11" r:id="rId9"/>
    <sheet name="CodedChest" sheetId="12" r:id="rId10"/>
    <sheet name="BlitzCoin" sheetId="13" r:id="rId11"/>
    <sheet name="Battle" sheetId="15" r:id="rId12"/>
    <sheet name="Units" sheetId="9" r:id="rId13"/>
  </sheet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5" i="9" l="1"/>
  <c r="AI5" i="9"/>
  <c r="AJ5" i="9"/>
  <c r="AK5" i="9"/>
  <c r="AL5" i="9"/>
  <c r="AM5" i="9"/>
  <c r="AN5" i="9"/>
  <c r="AH6" i="9"/>
  <c r="AI6" i="9"/>
  <c r="AJ6" i="9"/>
  <c r="AK6" i="9"/>
  <c r="AL6" i="9"/>
  <c r="AM6" i="9"/>
  <c r="AN6" i="9"/>
  <c r="AH7" i="9"/>
  <c r="AI7" i="9"/>
  <c r="AJ7" i="9"/>
  <c r="AK7" i="9"/>
  <c r="AL7" i="9"/>
  <c r="AM7" i="9"/>
  <c r="AN7" i="9"/>
  <c r="AH8" i="9"/>
  <c r="AI8" i="9"/>
  <c r="AJ8" i="9"/>
  <c r="AK8" i="9"/>
  <c r="AL8" i="9"/>
  <c r="AM8" i="9"/>
  <c r="AN8" i="9"/>
  <c r="AH9" i="9"/>
  <c r="AI9" i="9"/>
  <c r="AJ9" i="9"/>
  <c r="AK9" i="9"/>
  <c r="AL9" i="9"/>
  <c r="AM9" i="9"/>
  <c r="AN9" i="9"/>
  <c r="AM4" i="9"/>
  <c r="AN4" i="9"/>
  <c r="AK4" i="9"/>
  <c r="AL4" i="9"/>
  <c r="AJ4" i="9"/>
  <c r="AI4" i="9"/>
  <c r="AH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4" i="9"/>
  <c r="T5" i="9"/>
  <c r="U5" i="9"/>
  <c r="W5" i="9"/>
  <c r="X5" i="9"/>
  <c r="Y5" i="9"/>
  <c r="Z5" i="9"/>
  <c r="T6" i="9"/>
  <c r="U6" i="9"/>
  <c r="W6" i="9"/>
  <c r="X6" i="9"/>
  <c r="Y6" i="9"/>
  <c r="Z6" i="9"/>
  <c r="T7" i="9"/>
  <c r="U7" i="9"/>
  <c r="W7" i="9"/>
  <c r="X7" i="9"/>
  <c r="Y7" i="9"/>
  <c r="Z7" i="9"/>
  <c r="T8" i="9"/>
  <c r="U8" i="9"/>
  <c r="W8" i="9"/>
  <c r="X8" i="9"/>
  <c r="Y8" i="9"/>
  <c r="Z8" i="9"/>
  <c r="T9" i="9"/>
  <c r="U9" i="9"/>
  <c r="W9" i="9"/>
  <c r="X9" i="9"/>
  <c r="Y9" i="9"/>
  <c r="Z9" i="9"/>
  <c r="T10" i="9"/>
  <c r="U10" i="9"/>
  <c r="W10" i="9"/>
  <c r="X10" i="9"/>
  <c r="Y10" i="9"/>
  <c r="Z10" i="9"/>
  <c r="T11" i="9"/>
  <c r="U11" i="9"/>
  <c r="W11" i="9"/>
  <c r="X11" i="9"/>
  <c r="Y11" i="9"/>
  <c r="Z11" i="9"/>
  <c r="T12" i="9"/>
  <c r="U12" i="9"/>
  <c r="W12" i="9"/>
  <c r="X12" i="9"/>
  <c r="Y12" i="9"/>
  <c r="Z12" i="9"/>
  <c r="T13" i="9"/>
  <c r="U13" i="9"/>
  <c r="W13" i="9"/>
  <c r="X13" i="9"/>
  <c r="Y13" i="9"/>
  <c r="Z13" i="9"/>
  <c r="T14" i="9"/>
  <c r="U14" i="9"/>
  <c r="W14" i="9"/>
  <c r="X14" i="9"/>
  <c r="Y14" i="9"/>
  <c r="Z14" i="9"/>
  <c r="T15" i="9"/>
  <c r="U15" i="9"/>
  <c r="W15" i="9"/>
  <c r="X15" i="9"/>
  <c r="Y15" i="9"/>
  <c r="Z15" i="9"/>
  <c r="T16" i="9"/>
  <c r="U16" i="9"/>
  <c r="W16" i="9"/>
  <c r="X16" i="9"/>
  <c r="Y16" i="9"/>
  <c r="Z16" i="9"/>
  <c r="T17" i="9"/>
  <c r="U17" i="9"/>
  <c r="W17" i="9"/>
  <c r="X17" i="9"/>
  <c r="Y17" i="9"/>
  <c r="Z17" i="9"/>
  <c r="T18" i="9"/>
  <c r="U18" i="9"/>
  <c r="W18" i="9"/>
  <c r="X18" i="9"/>
  <c r="Y18" i="9"/>
  <c r="Z18" i="9"/>
  <c r="T19" i="9"/>
  <c r="U19" i="9"/>
  <c r="W19" i="9"/>
  <c r="X19" i="9"/>
  <c r="Y19" i="9"/>
  <c r="Z19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4" i="9"/>
  <c r="Y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4" i="9"/>
  <c r="Z4" i="9"/>
  <c r="W4" i="9"/>
  <c r="X4" i="9"/>
  <c r="U4" i="9"/>
  <c r="T4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4" i="9"/>
  <c r="AC5" i="15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4" i="9"/>
  <c r="AD5" i="15"/>
  <c r="AD6" i="15"/>
  <c r="AD7" i="15"/>
  <c r="AD8" i="15"/>
  <c r="AD9" i="15"/>
  <c r="AD10" i="15"/>
  <c r="AD11" i="15"/>
  <c r="AD12" i="15"/>
  <c r="AD13" i="15"/>
  <c r="AD14" i="15"/>
  <c r="AD15" i="15"/>
  <c r="AD16" i="15"/>
  <c r="AD17" i="15"/>
  <c r="AD4" i="15"/>
  <c r="AE3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E17" i="15"/>
  <c r="AC6" i="15"/>
  <c r="AC7" i="15"/>
  <c r="AC8" i="15"/>
  <c r="AC9" i="15"/>
  <c r="AC10" i="15"/>
  <c r="AC11" i="15"/>
  <c r="AC12" i="15"/>
  <c r="AC13" i="15"/>
  <c r="AC14" i="15"/>
  <c r="AC15" i="15"/>
  <c r="AC16" i="15"/>
  <c r="AC17" i="15"/>
  <c r="AC4" i="15"/>
  <c r="AC3" i="15"/>
  <c r="Z3" i="15"/>
  <c r="Z4" i="15"/>
  <c r="Z5" i="15"/>
  <c r="Z6" i="15"/>
  <c r="Z7" i="15"/>
  <c r="Z8" i="15"/>
  <c r="Z9" i="15"/>
  <c r="Z10" i="15"/>
  <c r="Z11" i="15"/>
  <c r="Z12" i="15"/>
  <c r="Z13" i="15"/>
  <c r="Z14" i="15"/>
  <c r="Z15" i="15"/>
  <c r="Z16" i="15"/>
  <c r="Z17" i="15"/>
  <c r="Z2" i="15"/>
  <c r="W3" i="15"/>
  <c r="W4" i="15"/>
  <c r="AB5" i="15"/>
  <c r="AB6" i="15"/>
  <c r="AB7" i="15"/>
  <c r="AB8" i="15"/>
  <c r="AB9" i="15"/>
  <c r="AB10" i="15"/>
  <c r="AB11" i="15"/>
  <c r="AB12" i="15"/>
  <c r="AB13" i="15"/>
  <c r="AB14" i="15"/>
  <c r="AB15" i="15"/>
  <c r="AB16" i="15"/>
  <c r="AB17" i="15"/>
  <c r="AB4" i="15"/>
  <c r="X3" i="15"/>
  <c r="X4" i="15"/>
  <c r="X5" i="15"/>
  <c r="X6" i="15"/>
  <c r="X7" i="15"/>
  <c r="X8" i="15"/>
  <c r="X9" i="15"/>
  <c r="X10" i="15"/>
  <c r="X11" i="15"/>
  <c r="X12" i="15"/>
  <c r="X13" i="15"/>
  <c r="X14" i="15"/>
  <c r="X15" i="15"/>
  <c r="X16" i="15"/>
  <c r="X17" i="15"/>
  <c r="X2" i="15"/>
  <c r="W2" i="15"/>
  <c r="W5" i="15"/>
  <c r="W6" i="15"/>
  <c r="W7" i="15"/>
  <c r="W8" i="15"/>
  <c r="W9" i="15"/>
  <c r="W10" i="15"/>
  <c r="W11" i="15"/>
  <c r="W12" i="15"/>
  <c r="W13" i="15"/>
  <c r="W14" i="15"/>
  <c r="W15" i="15"/>
  <c r="W16" i="15"/>
  <c r="W17" i="15"/>
  <c r="W1" i="15"/>
  <c r="Y5" i="15"/>
  <c r="AA5" i="15"/>
  <c r="Y6" i="15"/>
  <c r="AA6" i="15"/>
  <c r="Y7" i="15"/>
  <c r="AA7" i="15"/>
  <c r="Y8" i="15"/>
  <c r="AA8" i="15"/>
  <c r="Y9" i="15"/>
  <c r="AA9" i="15"/>
  <c r="Y10" i="15"/>
  <c r="AA10" i="15"/>
  <c r="Y11" i="15"/>
  <c r="AA11" i="15"/>
  <c r="Y12" i="15"/>
  <c r="AA12" i="15"/>
  <c r="Y13" i="15"/>
  <c r="AA13" i="15"/>
  <c r="Y14" i="15"/>
  <c r="AA14" i="15"/>
  <c r="Y15" i="15"/>
  <c r="AA15" i="15"/>
  <c r="Y16" i="15"/>
  <c r="AA16" i="15"/>
  <c r="Y17" i="15"/>
  <c r="AA17" i="15"/>
  <c r="AA4" i="15"/>
  <c r="Y4" i="15"/>
  <c r="N5" i="15"/>
  <c r="N4" i="15"/>
  <c r="N3" i="15"/>
  <c r="U3" i="15"/>
  <c r="U4" i="15"/>
  <c r="U5" i="15"/>
  <c r="N6" i="15"/>
  <c r="U6" i="15"/>
  <c r="N7" i="15"/>
  <c r="U7" i="15"/>
  <c r="N8" i="15"/>
  <c r="U8" i="15"/>
  <c r="N9" i="15"/>
  <c r="U9" i="15"/>
  <c r="N10" i="15"/>
  <c r="D10" i="15"/>
  <c r="D9" i="15"/>
  <c r="D8" i="15"/>
  <c r="D7" i="15"/>
  <c r="D6" i="15"/>
  <c r="D5" i="15"/>
  <c r="D4" i="15"/>
  <c r="K4" i="15"/>
  <c r="K5" i="15"/>
  <c r="K6" i="15"/>
  <c r="K7" i="15"/>
  <c r="K8" i="15"/>
  <c r="K9" i="15"/>
  <c r="K10" i="15"/>
  <c r="U10" i="15"/>
  <c r="N11" i="15"/>
  <c r="D11" i="15"/>
  <c r="K11" i="15"/>
  <c r="U11" i="15"/>
  <c r="N12" i="15"/>
  <c r="D12" i="15"/>
  <c r="K12" i="15"/>
  <c r="U12" i="15"/>
  <c r="N13" i="15"/>
  <c r="D13" i="15"/>
  <c r="K13" i="15"/>
  <c r="U13" i="15"/>
  <c r="N14" i="15"/>
  <c r="D14" i="15"/>
  <c r="K14" i="15"/>
  <c r="U14" i="15"/>
  <c r="N15" i="15"/>
  <c r="D15" i="15"/>
  <c r="K15" i="15"/>
  <c r="U15" i="15"/>
  <c r="N16" i="15"/>
  <c r="D16" i="15"/>
  <c r="K16" i="15"/>
  <c r="U16" i="15"/>
  <c r="N17" i="15"/>
  <c r="D17" i="15"/>
  <c r="K17" i="15"/>
  <c r="U17" i="15"/>
  <c r="T5" i="15"/>
  <c r="T6" i="15"/>
  <c r="T7" i="15"/>
  <c r="T8" i="15"/>
  <c r="T9" i="15"/>
  <c r="T10" i="15"/>
  <c r="T11" i="15"/>
  <c r="T12" i="15"/>
  <c r="T13" i="15"/>
  <c r="T14" i="15"/>
  <c r="T15" i="15"/>
  <c r="T16" i="15"/>
  <c r="T17" i="15"/>
  <c r="T4" i="15"/>
  <c r="S3" i="15"/>
  <c r="S4" i="15"/>
  <c r="S5" i="15"/>
  <c r="S6" i="15"/>
  <c r="S7" i="15"/>
  <c r="S8" i="15"/>
  <c r="S9" i="15"/>
  <c r="I4" i="15"/>
  <c r="I5" i="15"/>
  <c r="I6" i="15"/>
  <c r="I7" i="15"/>
  <c r="I8" i="15"/>
  <c r="I9" i="15"/>
  <c r="I10" i="15"/>
  <c r="S10" i="15"/>
  <c r="I11" i="15"/>
  <c r="S11" i="15"/>
  <c r="I12" i="15"/>
  <c r="S12" i="15"/>
  <c r="I13" i="15"/>
  <c r="S13" i="15"/>
  <c r="I14" i="15"/>
  <c r="S14" i="15"/>
  <c r="I15" i="15"/>
  <c r="S15" i="15"/>
  <c r="I16" i="15"/>
  <c r="S16" i="15"/>
  <c r="I17" i="15"/>
  <c r="S17" i="15"/>
  <c r="R5" i="15"/>
  <c r="R6" i="15"/>
  <c r="R7" i="15"/>
  <c r="R8" i="15"/>
  <c r="R9" i="15"/>
  <c r="R10" i="15"/>
  <c r="R11" i="15"/>
  <c r="R12" i="15"/>
  <c r="R13" i="15"/>
  <c r="R14" i="15"/>
  <c r="R15" i="15"/>
  <c r="R16" i="15"/>
  <c r="R17" i="15"/>
  <c r="R4" i="15"/>
  <c r="P5" i="15"/>
  <c r="Q5" i="15"/>
  <c r="P6" i="15"/>
  <c r="Q6" i="15"/>
  <c r="P7" i="15"/>
  <c r="Q7" i="15"/>
  <c r="P8" i="15"/>
  <c r="Q8" i="15"/>
  <c r="P9" i="15"/>
  <c r="Q9" i="15"/>
  <c r="P10" i="15"/>
  <c r="Q10" i="15"/>
  <c r="P11" i="15"/>
  <c r="Q11" i="15"/>
  <c r="P12" i="15"/>
  <c r="Q12" i="15"/>
  <c r="P13" i="15"/>
  <c r="Q13" i="15"/>
  <c r="P14" i="15"/>
  <c r="Q14" i="15"/>
  <c r="P15" i="15"/>
  <c r="Q15" i="15"/>
  <c r="P16" i="15"/>
  <c r="Q16" i="15"/>
  <c r="P17" i="15"/>
  <c r="Q17" i="15"/>
  <c r="Q4" i="15"/>
  <c r="P4" i="15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2" i="15"/>
  <c r="N2" i="15"/>
  <c r="M2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2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4" i="15"/>
  <c r="C3" i="15"/>
  <c r="D3" i="15"/>
  <c r="C4" i="15"/>
  <c r="C5" i="15"/>
  <c r="C6" i="15"/>
  <c r="C7" i="15"/>
  <c r="C8" i="15"/>
  <c r="C9" i="15"/>
  <c r="C10" i="15"/>
  <c r="KG11" i="1"/>
  <c r="C11" i="15"/>
  <c r="KG12" i="1"/>
  <c r="C12" i="15"/>
  <c r="KG13" i="1"/>
  <c r="C13" i="15"/>
  <c r="KG14" i="1"/>
  <c r="C14" i="15"/>
  <c r="KG15" i="1"/>
  <c r="C15" i="15"/>
  <c r="KG16" i="1"/>
  <c r="C16" i="15"/>
  <c r="KG17" i="1"/>
  <c r="C17" i="15"/>
  <c r="D2" i="15"/>
  <c r="A2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" i="15"/>
  <c r="C2" i="15"/>
  <c r="C1" i="15"/>
  <c r="QA12" i="1"/>
  <c r="QA13" i="1"/>
  <c r="QA15" i="1"/>
  <c r="QA17" i="1"/>
  <c r="PX12" i="1"/>
  <c r="PX13" i="1"/>
  <c r="PX14" i="1"/>
  <c r="PX15" i="1"/>
  <c r="PX16" i="1"/>
  <c r="PX17" i="1"/>
  <c r="PV14" i="1"/>
  <c r="PV16" i="1"/>
  <c r="PV12" i="1"/>
  <c r="PT12" i="1"/>
  <c r="PT13" i="1"/>
  <c r="PT14" i="1"/>
  <c r="PT15" i="1"/>
  <c r="PT16" i="1"/>
  <c r="PT17" i="1"/>
  <c r="PO11" i="1"/>
  <c r="PO12" i="1"/>
  <c r="DK4" i="1"/>
  <c r="DK5" i="1"/>
  <c r="DJ6" i="1"/>
  <c r="DK6" i="1"/>
  <c r="DJ7" i="1"/>
  <c r="DK7" i="1"/>
  <c r="DJ8" i="1"/>
  <c r="DK8" i="1"/>
  <c r="DJ9" i="1"/>
  <c r="DK9" i="1"/>
  <c r="DJ10" i="1"/>
  <c r="DK10" i="1"/>
  <c r="DJ11" i="1"/>
  <c r="DK11" i="1"/>
  <c r="DJ12" i="1"/>
  <c r="DK12" i="1"/>
  <c r="CY12" i="1"/>
  <c r="PR12" i="1"/>
  <c r="CX9" i="1"/>
  <c r="CX10" i="1"/>
  <c r="CX11" i="1"/>
  <c r="CY11" i="1"/>
  <c r="PR11" i="1"/>
  <c r="PS3" i="1"/>
  <c r="PS4" i="1"/>
  <c r="PS5" i="1"/>
  <c r="PS6" i="1"/>
  <c r="PS7" i="1"/>
  <c r="PS8" i="1"/>
  <c r="PS9" i="1"/>
  <c r="PS10" i="1"/>
  <c r="PS11" i="1"/>
  <c r="PS12" i="1"/>
  <c r="DB4" i="1"/>
  <c r="DA5" i="1"/>
  <c r="DB5" i="1"/>
  <c r="DA6" i="1"/>
  <c r="DB6" i="1"/>
  <c r="DA7" i="1"/>
  <c r="DB7" i="1"/>
  <c r="DA8" i="1"/>
  <c r="DB8" i="1"/>
  <c r="DA9" i="1"/>
  <c r="DB9" i="1"/>
  <c r="DA10" i="1"/>
  <c r="DB10" i="1"/>
  <c r="DB11" i="1"/>
  <c r="DA12" i="1"/>
  <c r="DB12" i="1"/>
  <c r="PU12" i="1"/>
  <c r="DD4" i="1"/>
  <c r="DC5" i="1"/>
  <c r="DD5" i="1"/>
  <c r="DC6" i="1"/>
  <c r="DD6" i="1"/>
  <c r="DC7" i="1"/>
  <c r="DD7" i="1"/>
  <c r="DC8" i="1"/>
  <c r="DD8" i="1"/>
  <c r="DC9" i="1"/>
  <c r="DD9" i="1"/>
  <c r="DC10" i="1"/>
  <c r="DD10" i="1"/>
  <c r="DC11" i="1"/>
  <c r="DD11" i="1"/>
  <c r="DC12" i="1"/>
  <c r="DD12" i="1"/>
  <c r="PW12" i="1"/>
  <c r="DG10" i="1"/>
  <c r="DG11" i="1"/>
  <c r="DF12" i="1"/>
  <c r="DG12" i="1"/>
  <c r="PY12" i="1"/>
  <c r="QB12" i="1"/>
  <c r="PZ12" i="1"/>
  <c r="PO13" i="1"/>
  <c r="DK13" i="1"/>
  <c r="CX13" i="1"/>
  <c r="CY13" i="1"/>
  <c r="PR13" i="1"/>
  <c r="PS13" i="1"/>
  <c r="DA13" i="1"/>
  <c r="DB13" i="1"/>
  <c r="PU13" i="1"/>
  <c r="DC13" i="1"/>
  <c r="DD13" i="1"/>
  <c r="PW13" i="1"/>
  <c r="DG13" i="1"/>
  <c r="PY13" i="1"/>
  <c r="QB13" i="1"/>
  <c r="PZ13" i="1"/>
  <c r="PO14" i="1"/>
  <c r="DK14" i="1"/>
  <c r="CY14" i="1"/>
  <c r="PR14" i="1"/>
  <c r="PS14" i="1"/>
  <c r="DA14" i="1"/>
  <c r="DB14" i="1"/>
  <c r="PU14" i="1"/>
  <c r="DC14" i="1"/>
  <c r="DD14" i="1"/>
  <c r="PW14" i="1"/>
  <c r="DF14" i="1"/>
  <c r="DG14" i="1"/>
  <c r="PY14" i="1"/>
  <c r="QB14" i="1"/>
  <c r="PZ14" i="1"/>
  <c r="PO15" i="1"/>
  <c r="DJ15" i="1"/>
  <c r="DK15" i="1"/>
  <c r="CX15" i="1"/>
  <c r="CY15" i="1"/>
  <c r="PR15" i="1"/>
  <c r="PS15" i="1"/>
  <c r="DA15" i="1"/>
  <c r="DB15" i="1"/>
  <c r="PU15" i="1"/>
  <c r="DC15" i="1"/>
  <c r="DD15" i="1"/>
  <c r="PW15" i="1"/>
  <c r="DF15" i="1"/>
  <c r="DG15" i="1"/>
  <c r="PY15" i="1"/>
  <c r="QB15" i="1"/>
  <c r="PZ15" i="1"/>
  <c r="PO16" i="1"/>
  <c r="DJ16" i="1"/>
  <c r="DK16" i="1"/>
  <c r="CX16" i="1"/>
  <c r="CY16" i="1"/>
  <c r="PR16" i="1"/>
  <c r="PS16" i="1"/>
  <c r="DA16" i="1"/>
  <c r="DB16" i="1"/>
  <c r="PU16" i="1"/>
  <c r="DC16" i="1"/>
  <c r="DD16" i="1"/>
  <c r="PW16" i="1"/>
  <c r="DF16" i="1"/>
  <c r="DG16" i="1"/>
  <c r="PY16" i="1"/>
  <c r="QB16" i="1"/>
  <c r="PZ16" i="1"/>
  <c r="PO17" i="1"/>
  <c r="DJ17" i="1"/>
  <c r="DK17" i="1"/>
  <c r="CX17" i="1"/>
  <c r="CY17" i="1"/>
  <c r="PR17" i="1"/>
  <c r="PS17" i="1"/>
  <c r="DA17" i="1"/>
  <c r="DB17" i="1"/>
  <c r="PU17" i="1"/>
  <c r="DC17" i="1"/>
  <c r="DD17" i="1"/>
  <c r="PW17" i="1"/>
  <c r="DF17" i="1"/>
  <c r="DG17" i="1"/>
  <c r="PY17" i="1"/>
  <c r="QB17" i="1"/>
  <c r="PZ17" i="1"/>
  <c r="QB11" i="1"/>
  <c r="PZ11" i="1"/>
  <c r="PY11" i="1"/>
  <c r="PW11" i="1"/>
  <c r="PU11" i="1"/>
  <c r="GE3" i="1"/>
  <c r="GG3" i="1"/>
  <c r="GG4" i="1"/>
  <c r="GF5" i="1"/>
  <c r="GG5" i="1"/>
  <c r="GF6" i="1"/>
  <c r="GG6" i="1"/>
  <c r="GF7" i="1"/>
  <c r="GG7" i="1"/>
  <c r="GF8" i="1"/>
  <c r="GG8" i="1"/>
  <c r="GF9" i="1"/>
  <c r="GG9" i="1"/>
  <c r="GG10" i="1"/>
  <c r="GF11" i="1"/>
  <c r="GG11" i="1"/>
  <c r="HR11" i="1"/>
  <c r="GY11" i="1"/>
  <c r="AR11" i="1"/>
  <c r="O10" i="1"/>
  <c r="O11" i="1"/>
  <c r="R11" i="1"/>
  <c r="CP11" i="1"/>
  <c r="A4" i="1"/>
  <c r="A5" i="1"/>
  <c r="A6" i="1"/>
  <c r="A7" i="1"/>
  <c r="A8" i="1"/>
  <c r="A9" i="1"/>
  <c r="A10" i="1"/>
  <c r="A11" i="1"/>
  <c r="J6" i="8"/>
  <c r="J7" i="8"/>
  <c r="J8" i="8"/>
  <c r="J9" i="8"/>
  <c r="J10" i="8"/>
  <c r="J11" i="8"/>
  <c r="J12" i="8"/>
  <c r="J13" i="8"/>
  <c r="J14" i="8"/>
  <c r="J15" i="8"/>
  <c r="J16" i="8"/>
  <c r="J17" i="8"/>
  <c r="Q6" i="8"/>
  <c r="Q7" i="8"/>
  <c r="Q8" i="8"/>
  <c r="Q9" i="8"/>
  <c r="Q10" i="8"/>
  <c r="Q11" i="8"/>
  <c r="Q12" i="8"/>
  <c r="Q13" i="8"/>
  <c r="Q14" i="8"/>
  <c r="Q15" i="8"/>
  <c r="Q16" i="8"/>
  <c r="Q17" i="8"/>
  <c r="AL17" i="1"/>
  <c r="N17" i="8"/>
  <c r="Y6" i="8"/>
  <c r="Y7" i="8"/>
  <c r="Y8" i="8"/>
  <c r="Y9" i="8"/>
  <c r="Y10" i="8"/>
  <c r="Y11" i="8"/>
  <c r="Y12" i="8"/>
  <c r="Y13" i="8"/>
  <c r="Y14" i="8"/>
  <c r="Y15" i="8"/>
  <c r="Y16" i="8"/>
  <c r="Y17" i="8"/>
  <c r="AP17" i="1"/>
  <c r="V17" i="8"/>
  <c r="AG6" i="8"/>
  <c r="AG7" i="8"/>
  <c r="AG8" i="8"/>
  <c r="AG9" i="8"/>
  <c r="AG10" i="8"/>
  <c r="AG11" i="8"/>
  <c r="AG12" i="8"/>
  <c r="AG13" i="8"/>
  <c r="AG14" i="8"/>
  <c r="AG15" i="8"/>
  <c r="AG16" i="8"/>
  <c r="AG17" i="8"/>
  <c r="AT17" i="1"/>
  <c r="AD17" i="8"/>
  <c r="AM8" i="8"/>
  <c r="AM9" i="8"/>
  <c r="AM10" i="8"/>
  <c r="AM11" i="8"/>
  <c r="AM12" i="8"/>
  <c r="AM13" i="8"/>
  <c r="AM14" i="8"/>
  <c r="AM15" i="8"/>
  <c r="AM16" i="8"/>
  <c r="AM17" i="8"/>
  <c r="AR7" i="8"/>
  <c r="AR8" i="8"/>
  <c r="AR9" i="8"/>
  <c r="AR10" i="8"/>
  <c r="AR11" i="8"/>
  <c r="AR12" i="8"/>
  <c r="AR13" i="8"/>
  <c r="AR14" i="8"/>
  <c r="AR15" i="8"/>
  <c r="AR16" i="8"/>
  <c r="AR17" i="8"/>
  <c r="F17" i="8"/>
  <c r="F30" i="10"/>
  <c r="AL12" i="1"/>
  <c r="N12" i="8"/>
  <c r="AP12" i="1"/>
  <c r="V12" i="8"/>
  <c r="AT12" i="1"/>
  <c r="AD12" i="8"/>
  <c r="F12" i="8"/>
  <c r="F29" i="10"/>
  <c r="AL7" i="1"/>
  <c r="N7" i="8"/>
  <c r="AP7" i="1"/>
  <c r="V7" i="8"/>
  <c r="AT7" i="1"/>
  <c r="AD7" i="8"/>
  <c r="F7" i="8"/>
  <c r="F28" i="10"/>
  <c r="BN4" i="7"/>
  <c r="BN5" i="7"/>
  <c r="BN6" i="7"/>
  <c r="BL6" i="7"/>
  <c r="BV6" i="7"/>
  <c r="CO10" i="7"/>
  <c r="HR10" i="1"/>
  <c r="CM10" i="7"/>
  <c r="CW10" i="7"/>
  <c r="CN10" i="7"/>
  <c r="CN11" i="7"/>
  <c r="GE4" i="1"/>
  <c r="GD5" i="1"/>
  <c r="GE5" i="1"/>
  <c r="GD6" i="1"/>
  <c r="GE6" i="1"/>
  <c r="GE7" i="1"/>
  <c r="GD8" i="1"/>
  <c r="GE8" i="1"/>
  <c r="GD9" i="1"/>
  <c r="GE9" i="1"/>
  <c r="GE10" i="1"/>
  <c r="GE11" i="1"/>
  <c r="HP11" i="1"/>
  <c r="CL11" i="7"/>
  <c r="CV11" i="7"/>
  <c r="HP9" i="1"/>
  <c r="CL9" i="7"/>
  <c r="CV9" i="7"/>
  <c r="HR9" i="1"/>
  <c r="CM9" i="7"/>
  <c r="CR9" i="7"/>
  <c r="CO11" i="7"/>
  <c r="CM11" i="7"/>
  <c r="CR11" i="7"/>
  <c r="HP10" i="1"/>
  <c r="CL10" i="7"/>
  <c r="CQ10" i="7"/>
  <c r="X8" i="7"/>
  <c r="X9" i="7"/>
  <c r="X10" i="7"/>
  <c r="X11" i="7"/>
  <c r="ET3" i="1"/>
  <c r="EV3" i="1"/>
  <c r="EV4" i="1"/>
  <c r="EU5" i="1"/>
  <c r="EV5" i="1"/>
  <c r="EU6" i="1"/>
  <c r="EV6" i="1"/>
  <c r="EU7" i="1"/>
  <c r="EV7" i="1"/>
  <c r="EU8" i="1"/>
  <c r="EV8" i="1"/>
  <c r="EU9" i="1"/>
  <c r="EV9" i="1"/>
  <c r="EV10" i="1"/>
  <c r="EU11" i="1"/>
  <c r="EV11" i="1"/>
  <c r="V11" i="7"/>
  <c r="AP11" i="7"/>
  <c r="W8" i="7"/>
  <c r="W9" i="7"/>
  <c r="W10" i="7"/>
  <c r="ET4" i="1"/>
  <c r="ES5" i="1"/>
  <c r="ET5" i="1"/>
  <c r="ES6" i="1"/>
  <c r="ET6" i="1"/>
  <c r="ET7" i="1"/>
  <c r="ES8" i="1"/>
  <c r="ET8" i="1"/>
  <c r="ES9" i="1"/>
  <c r="ET9" i="1"/>
  <c r="ET10" i="1"/>
  <c r="U10" i="7"/>
  <c r="AO10" i="7"/>
  <c r="V9" i="7"/>
  <c r="AP9" i="7"/>
  <c r="U8" i="7"/>
  <c r="AO8" i="7"/>
  <c r="V7" i="7"/>
  <c r="AP7" i="7"/>
  <c r="W4" i="7"/>
  <c r="W5" i="7"/>
  <c r="W6" i="7"/>
  <c r="U6" i="7"/>
  <c r="AO6" i="7"/>
  <c r="X4" i="7"/>
  <c r="X5" i="7"/>
  <c r="V5" i="7"/>
  <c r="AP5" i="7"/>
  <c r="V4" i="7"/>
  <c r="AP4" i="7"/>
  <c r="V3" i="7"/>
  <c r="AP3" i="7"/>
  <c r="BL3" i="7"/>
  <c r="CF3" i="7"/>
  <c r="BL4" i="7"/>
  <c r="CF4" i="7"/>
  <c r="BL5" i="7"/>
  <c r="CF5" i="7"/>
  <c r="CF6" i="7"/>
  <c r="BL7" i="7"/>
  <c r="CF7" i="7"/>
  <c r="BM8" i="7"/>
  <c r="BK8" i="7"/>
  <c r="CE8" i="7"/>
  <c r="BM9" i="7"/>
  <c r="BK9" i="7"/>
  <c r="CE9" i="7"/>
  <c r="BM10" i="7"/>
  <c r="BK10" i="7"/>
  <c r="CE10" i="7"/>
  <c r="BM11" i="7"/>
  <c r="BK11" i="7"/>
  <c r="CE11" i="7"/>
  <c r="BN8" i="7"/>
  <c r="BN9" i="7"/>
  <c r="BN10" i="7"/>
  <c r="BN11" i="7"/>
  <c r="BL11" i="7"/>
  <c r="BZ9" i="7"/>
  <c r="BL9" i="7"/>
  <c r="CA8" i="7"/>
  <c r="BZ7" i="7"/>
  <c r="CA6" i="7"/>
  <c r="BM4" i="7"/>
  <c r="BM5" i="7"/>
  <c r="BM6" i="7"/>
  <c r="BK6" i="7"/>
  <c r="CA5" i="7"/>
  <c r="BK4" i="7"/>
  <c r="BZ4" i="7"/>
  <c r="CA3" i="7"/>
  <c r="AK3" i="7"/>
  <c r="AK5" i="7"/>
  <c r="X6" i="7"/>
  <c r="V6" i="7"/>
  <c r="AK6" i="7"/>
  <c r="V8" i="7"/>
  <c r="V10" i="7"/>
  <c r="U4" i="7"/>
  <c r="AJ4" i="7"/>
  <c r="U7" i="7"/>
  <c r="AJ7" i="7"/>
  <c r="U9" i="7"/>
  <c r="W11" i="7"/>
  <c r="ET11" i="1"/>
  <c r="U11" i="7"/>
  <c r="AE11" i="7"/>
  <c r="AF10" i="7"/>
  <c r="AE9" i="7"/>
  <c r="AF8" i="7"/>
  <c r="AF7" i="7"/>
  <c r="AE6" i="7"/>
  <c r="U5" i="7"/>
  <c r="AE5" i="7"/>
  <c r="AF4" i="7"/>
  <c r="AF3" i="7"/>
  <c r="BV7" i="7"/>
  <c r="BL8" i="7"/>
  <c r="BV8" i="7"/>
  <c r="BU4" i="7"/>
  <c r="BK5" i="7"/>
  <c r="BU5" i="7"/>
  <c r="BU9" i="7"/>
  <c r="BU10" i="7"/>
  <c r="BK3" i="7"/>
  <c r="BU3" i="7"/>
  <c r="BQ11" i="7"/>
  <c r="BP10" i="7"/>
  <c r="BP9" i="7"/>
  <c r="BQ8" i="7"/>
  <c r="BQ7" i="7"/>
  <c r="BP6" i="7"/>
  <c r="BP5" i="7"/>
  <c r="BQ4" i="7"/>
  <c r="BP3" i="7"/>
  <c r="AA4" i="7"/>
  <c r="AA6" i="7"/>
  <c r="AA7" i="7"/>
  <c r="AA10" i="7"/>
  <c r="Z5" i="7"/>
  <c r="Z8" i="7"/>
  <c r="Z9" i="7"/>
  <c r="Z11" i="7"/>
  <c r="U3" i="7"/>
  <c r="Z3" i="7"/>
  <c r="NQ5" i="1"/>
  <c r="DN5" i="7"/>
  <c r="DO5" i="7"/>
  <c r="DY5" i="7"/>
  <c r="NQ6" i="1"/>
  <c r="DN6" i="7"/>
  <c r="DO6" i="7"/>
  <c r="DY6" i="7"/>
  <c r="NQ7" i="1"/>
  <c r="DN7" i="7"/>
  <c r="DO7" i="7"/>
  <c r="DY7" i="7"/>
  <c r="NQ8" i="1"/>
  <c r="DN8" i="7"/>
  <c r="DO8" i="7"/>
  <c r="DY8" i="7"/>
  <c r="NQ9" i="1"/>
  <c r="DN9" i="7"/>
  <c r="DO9" i="7"/>
  <c r="DY9" i="7"/>
  <c r="NQ10" i="1"/>
  <c r="DN10" i="7"/>
  <c r="DO10" i="7"/>
  <c r="DY10" i="7"/>
  <c r="NQ11" i="1"/>
  <c r="DN11" i="7"/>
  <c r="DO11" i="7"/>
  <c r="DY11" i="7"/>
  <c r="DN4" i="7"/>
  <c r="DY4" i="7"/>
  <c r="DU5" i="7"/>
  <c r="DU6" i="7"/>
  <c r="DU7" i="7"/>
  <c r="DU8" i="7"/>
  <c r="DU4" i="7"/>
  <c r="DQ5" i="7"/>
  <c r="DQ6" i="7"/>
  <c r="DQ7" i="7"/>
  <c r="DQ8" i="7"/>
  <c r="DQ9" i="7"/>
  <c r="DQ10" i="7"/>
  <c r="DQ4" i="7"/>
  <c r="GY10" i="1"/>
  <c r="DD10" i="7"/>
  <c r="DE10" i="7"/>
  <c r="DG10" i="7"/>
  <c r="DD11" i="7"/>
  <c r="DE11" i="7"/>
  <c r="DG11" i="7"/>
  <c r="GY9" i="1"/>
  <c r="DD9" i="7"/>
  <c r="DG9" i="7"/>
  <c r="FN4" i="1"/>
  <c r="AX4" i="7"/>
  <c r="AY4" i="7"/>
  <c r="BE4" i="7"/>
  <c r="FN5" i="1"/>
  <c r="AX5" i="7"/>
  <c r="AY5" i="7"/>
  <c r="BE5" i="7"/>
  <c r="FN6" i="1"/>
  <c r="AX6" i="7"/>
  <c r="AY6" i="7"/>
  <c r="BE6" i="7"/>
  <c r="FN7" i="1"/>
  <c r="AX7" i="7"/>
  <c r="BE7" i="7"/>
  <c r="FN8" i="1"/>
  <c r="AX8" i="7"/>
  <c r="AY8" i="7"/>
  <c r="BE8" i="7"/>
  <c r="FN9" i="1"/>
  <c r="AX9" i="7"/>
  <c r="AY9" i="7"/>
  <c r="BE9" i="7"/>
  <c r="FN10" i="1"/>
  <c r="AX10" i="7"/>
  <c r="AY10" i="7"/>
  <c r="BE10" i="7"/>
  <c r="FN11" i="1"/>
  <c r="AX11" i="7"/>
  <c r="AY11" i="7"/>
  <c r="BE11" i="7"/>
  <c r="FN3" i="1"/>
  <c r="AX3" i="7"/>
  <c r="BE3" i="7"/>
  <c r="BA4" i="7"/>
  <c r="BA5" i="7"/>
  <c r="BA6" i="7"/>
  <c r="BA7" i="7"/>
  <c r="BA8" i="7"/>
  <c r="BA9" i="7"/>
  <c r="BA3" i="7"/>
  <c r="EC4" i="1"/>
  <c r="C4" i="7"/>
  <c r="D4" i="7"/>
  <c r="N4" i="7"/>
  <c r="D5" i="7"/>
  <c r="EC5" i="1"/>
  <c r="C5" i="7"/>
  <c r="N5" i="7"/>
  <c r="D6" i="7"/>
  <c r="EC6" i="1"/>
  <c r="C6" i="7"/>
  <c r="N6" i="7"/>
  <c r="EC7" i="1"/>
  <c r="C7" i="7"/>
  <c r="N7" i="7"/>
  <c r="D8" i="7"/>
  <c r="EC8" i="1"/>
  <c r="C8" i="7"/>
  <c r="N8" i="7"/>
  <c r="D9" i="7"/>
  <c r="EC9" i="1"/>
  <c r="C9" i="7"/>
  <c r="N9" i="7"/>
  <c r="D10" i="7"/>
  <c r="EC10" i="1"/>
  <c r="C10" i="7"/>
  <c r="N10" i="7"/>
  <c r="D11" i="7"/>
  <c r="EC11" i="1"/>
  <c r="C11" i="7"/>
  <c r="N11" i="7"/>
  <c r="EC3" i="1"/>
  <c r="C3" i="7"/>
  <c r="N3" i="7"/>
  <c r="J4" i="7"/>
  <c r="J5" i="7"/>
  <c r="J6" i="7"/>
  <c r="J7" i="7"/>
  <c r="J8" i="7"/>
  <c r="J9" i="7"/>
  <c r="J10" i="7"/>
  <c r="J11" i="7"/>
  <c r="J3" i="7"/>
  <c r="F4" i="7"/>
  <c r="F5" i="7"/>
  <c r="F6" i="7"/>
  <c r="F7" i="7"/>
  <c r="F8" i="7"/>
  <c r="F9" i="7"/>
  <c r="F10" i="7"/>
  <c r="F11" i="7"/>
  <c r="F3" i="7"/>
  <c r="BP4" i="1"/>
  <c r="DM4" i="7"/>
  <c r="BP5" i="1"/>
  <c r="DM5" i="7"/>
  <c r="BP6" i="1"/>
  <c r="DM6" i="7"/>
  <c r="BP7" i="1"/>
  <c r="DM7" i="7"/>
  <c r="BP8" i="1"/>
  <c r="DM8" i="7"/>
  <c r="BP9" i="1"/>
  <c r="DM9" i="7"/>
  <c r="BP10" i="1"/>
  <c r="DM10" i="7"/>
  <c r="BP11" i="1"/>
  <c r="DM11" i="7"/>
  <c r="BP12" i="1"/>
  <c r="DM12" i="7"/>
  <c r="BP13" i="1"/>
  <c r="DM13" i="7"/>
  <c r="BP14" i="1"/>
  <c r="DM14" i="7"/>
  <c r="BP15" i="1"/>
  <c r="DM15" i="7"/>
  <c r="BP16" i="1"/>
  <c r="DM16" i="7"/>
  <c r="BP17" i="1"/>
  <c r="DM17" i="7"/>
  <c r="BP3" i="1"/>
  <c r="DM3" i="7"/>
  <c r="DN4" i="1"/>
  <c r="DN5" i="1"/>
  <c r="DN6" i="1"/>
  <c r="DN7" i="1"/>
  <c r="DN8" i="1"/>
  <c r="DN9" i="1"/>
  <c r="DN10" i="1"/>
  <c r="DN11" i="1"/>
  <c r="DN12" i="1"/>
  <c r="DN13" i="1"/>
  <c r="DN14" i="1"/>
  <c r="DN15" i="1"/>
  <c r="DN16" i="1"/>
  <c r="DN17" i="1"/>
  <c r="A17" i="7"/>
  <c r="AJ17" i="1"/>
  <c r="B17" i="7"/>
  <c r="EE4" i="1"/>
  <c r="EE5" i="1"/>
  <c r="EE6" i="1"/>
  <c r="EE7" i="1"/>
  <c r="EE8" i="1"/>
  <c r="EE9" i="1"/>
  <c r="EE10" i="1"/>
  <c r="EE11" i="1"/>
  <c r="EE12" i="1"/>
  <c r="EE13" i="1"/>
  <c r="EE14" i="1"/>
  <c r="EE15" i="1"/>
  <c r="EE16" i="1"/>
  <c r="EE17" i="1"/>
  <c r="S17" i="7"/>
  <c r="T17" i="7"/>
  <c r="EY4" i="1"/>
  <c r="EY5" i="1"/>
  <c r="EY6" i="1"/>
  <c r="EY7" i="1"/>
  <c r="EY8" i="1"/>
  <c r="EY9" i="1"/>
  <c r="EY10" i="1"/>
  <c r="EY11" i="1"/>
  <c r="EY12" i="1"/>
  <c r="EY13" i="1"/>
  <c r="EY14" i="1"/>
  <c r="EY15" i="1"/>
  <c r="EY16" i="1"/>
  <c r="EY17" i="1"/>
  <c r="AV17" i="7"/>
  <c r="AN17" i="1"/>
  <c r="AW17" i="7"/>
  <c r="FP4" i="1"/>
  <c r="FP5" i="1"/>
  <c r="FP6" i="1"/>
  <c r="FP7" i="1"/>
  <c r="FP8" i="1"/>
  <c r="FP9" i="1"/>
  <c r="FP10" i="1"/>
  <c r="FP11" i="1"/>
  <c r="FP12" i="1"/>
  <c r="FP13" i="1"/>
  <c r="FP14" i="1"/>
  <c r="FP15" i="1"/>
  <c r="FP16" i="1"/>
  <c r="FP17" i="1"/>
  <c r="BI17" i="7"/>
  <c r="BJ17" i="7"/>
  <c r="HA4" i="1"/>
  <c r="HA5" i="1"/>
  <c r="HA6" i="1"/>
  <c r="HA7" i="1"/>
  <c r="HA8" i="1"/>
  <c r="HA9" i="1"/>
  <c r="HA10" i="1"/>
  <c r="HA11" i="1"/>
  <c r="HA12" i="1"/>
  <c r="HA13" i="1"/>
  <c r="HA14" i="1"/>
  <c r="HA15" i="1"/>
  <c r="HA16" i="1"/>
  <c r="HA17" i="1"/>
  <c r="CJ17" i="7"/>
  <c r="CK17" i="7"/>
  <c r="GJ4" i="1"/>
  <c r="GJ5" i="1"/>
  <c r="GJ6" i="1"/>
  <c r="GJ7" i="1"/>
  <c r="GJ8" i="1"/>
  <c r="GJ9" i="1"/>
  <c r="GJ10" i="1"/>
  <c r="GJ11" i="1"/>
  <c r="GJ12" i="1"/>
  <c r="GJ13" i="1"/>
  <c r="GJ14" i="1"/>
  <c r="GJ15" i="1"/>
  <c r="GJ16" i="1"/>
  <c r="GJ17" i="1"/>
  <c r="DB17" i="7"/>
  <c r="AR17" i="1"/>
  <c r="DC17" i="7"/>
  <c r="ND4" i="1"/>
  <c r="ND5" i="1"/>
  <c r="ND6" i="1"/>
  <c r="ND7" i="1"/>
  <c r="ND8" i="1"/>
  <c r="ND9" i="1"/>
  <c r="ND10" i="1"/>
  <c r="ND11" i="1"/>
  <c r="ND12" i="1"/>
  <c r="ND13" i="1"/>
  <c r="ND14" i="1"/>
  <c r="ND15" i="1"/>
  <c r="ND16" i="1"/>
  <c r="ND17" i="1"/>
  <c r="DL17" i="7"/>
  <c r="BL17" i="1"/>
  <c r="C23" i="7"/>
  <c r="DN3" i="7"/>
  <c r="NQ12" i="1"/>
  <c r="DN12" i="7"/>
  <c r="NQ13" i="1"/>
  <c r="DN13" i="7"/>
  <c r="NQ14" i="1"/>
  <c r="DN14" i="7"/>
  <c r="NQ15" i="1"/>
  <c r="DN15" i="7"/>
  <c r="NQ16" i="1"/>
  <c r="DN16" i="7"/>
  <c r="NQ17" i="1"/>
  <c r="DN17" i="7"/>
  <c r="DN2" i="7"/>
  <c r="DL4" i="7"/>
  <c r="DL5" i="7"/>
  <c r="DL6" i="7"/>
  <c r="DL7" i="7"/>
  <c r="DL8" i="7"/>
  <c r="DL9" i="7"/>
  <c r="DL10" i="7"/>
  <c r="DL11" i="7"/>
  <c r="DL12" i="7"/>
  <c r="DL13" i="7"/>
  <c r="DL14" i="7"/>
  <c r="DL15" i="7"/>
  <c r="DL16" i="7"/>
  <c r="DL3" i="7"/>
  <c r="HP3" i="1"/>
  <c r="HR3" i="1"/>
  <c r="GY3" i="1"/>
  <c r="DD3" i="7"/>
  <c r="GY4" i="1"/>
  <c r="DD4" i="7"/>
  <c r="GY5" i="1"/>
  <c r="DD5" i="7"/>
  <c r="GY6" i="1"/>
  <c r="DD6" i="7"/>
  <c r="GY7" i="1"/>
  <c r="DD7" i="7"/>
  <c r="GY8" i="1"/>
  <c r="DD8" i="7"/>
  <c r="GF12" i="1"/>
  <c r="GG12" i="1"/>
  <c r="HR12" i="1"/>
  <c r="GY12" i="1"/>
  <c r="DD12" i="7"/>
  <c r="GF13" i="1"/>
  <c r="GG13" i="1"/>
  <c r="HR13" i="1"/>
  <c r="GY13" i="1"/>
  <c r="DD13" i="7"/>
  <c r="GG14" i="1"/>
  <c r="HR14" i="1"/>
  <c r="GY14" i="1"/>
  <c r="DD14" i="7"/>
  <c r="GF15" i="1"/>
  <c r="GG15" i="1"/>
  <c r="HR15" i="1"/>
  <c r="GY15" i="1"/>
  <c r="DD15" i="7"/>
  <c r="GF16" i="1"/>
  <c r="GG16" i="1"/>
  <c r="HR16" i="1"/>
  <c r="GY16" i="1"/>
  <c r="DD16" i="7"/>
  <c r="GF17" i="1"/>
  <c r="GG17" i="1"/>
  <c r="HR17" i="1"/>
  <c r="GY17" i="1"/>
  <c r="DD17" i="7"/>
  <c r="DD2" i="7"/>
  <c r="DB4" i="7"/>
  <c r="DB5" i="7"/>
  <c r="DB6" i="7"/>
  <c r="DB7" i="7"/>
  <c r="DB8" i="7"/>
  <c r="DB9" i="7"/>
  <c r="DB10" i="7"/>
  <c r="DB11" i="7"/>
  <c r="DB12" i="7"/>
  <c r="DB13" i="7"/>
  <c r="DB14" i="7"/>
  <c r="DB15" i="7"/>
  <c r="DB16" i="7"/>
  <c r="DB3" i="7"/>
  <c r="CM3" i="7"/>
  <c r="HR4" i="1"/>
  <c r="CM4" i="7"/>
  <c r="HR5" i="1"/>
  <c r="CM5" i="7"/>
  <c r="HR6" i="1"/>
  <c r="CM6" i="7"/>
  <c r="HR7" i="1"/>
  <c r="CM7" i="7"/>
  <c r="HR8" i="1"/>
  <c r="CM8" i="7"/>
  <c r="CM12" i="7"/>
  <c r="CM13" i="7"/>
  <c r="CM14" i="7"/>
  <c r="CM15" i="7"/>
  <c r="CM16" i="7"/>
  <c r="CM17" i="7"/>
  <c r="CM2" i="7"/>
  <c r="CL3" i="7"/>
  <c r="HP4" i="1"/>
  <c r="CL4" i="7"/>
  <c r="HP5" i="1"/>
  <c r="CL5" i="7"/>
  <c r="HP6" i="1"/>
  <c r="CL6" i="7"/>
  <c r="HP7" i="1"/>
  <c r="CL7" i="7"/>
  <c r="HP8" i="1"/>
  <c r="CL8" i="7"/>
  <c r="GD12" i="1"/>
  <c r="GE12" i="1"/>
  <c r="HP12" i="1"/>
  <c r="CL12" i="7"/>
  <c r="GD13" i="1"/>
  <c r="GE13" i="1"/>
  <c r="HP13" i="1"/>
  <c r="CL13" i="7"/>
  <c r="GD14" i="1"/>
  <c r="GE14" i="1"/>
  <c r="HP14" i="1"/>
  <c r="CL14" i="7"/>
  <c r="GD15" i="1"/>
  <c r="GE15" i="1"/>
  <c r="HP15" i="1"/>
  <c r="CL15" i="7"/>
  <c r="GD16" i="1"/>
  <c r="GE16" i="1"/>
  <c r="HP16" i="1"/>
  <c r="CL16" i="7"/>
  <c r="GD17" i="1"/>
  <c r="GE17" i="1"/>
  <c r="HP17" i="1"/>
  <c r="CL17" i="7"/>
  <c r="CL2" i="7"/>
  <c r="CJ4" i="7"/>
  <c r="CJ5" i="7"/>
  <c r="CJ6" i="7"/>
  <c r="CJ7" i="7"/>
  <c r="CJ8" i="7"/>
  <c r="CJ9" i="7"/>
  <c r="CJ10" i="7"/>
  <c r="CJ11" i="7"/>
  <c r="CJ12" i="7"/>
  <c r="CJ13" i="7"/>
  <c r="CJ14" i="7"/>
  <c r="CJ15" i="7"/>
  <c r="CJ16" i="7"/>
  <c r="CJ3" i="7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3" i="1"/>
  <c r="AR4" i="1"/>
  <c r="DC4" i="7"/>
  <c r="AR5" i="1"/>
  <c r="DC5" i="7"/>
  <c r="AR6" i="1"/>
  <c r="DC6" i="7"/>
  <c r="AR7" i="1"/>
  <c r="DC7" i="7"/>
  <c r="AR8" i="1"/>
  <c r="DC8" i="7"/>
  <c r="AR9" i="1"/>
  <c r="DC9" i="7"/>
  <c r="AR10" i="1"/>
  <c r="DC10" i="7"/>
  <c r="DC11" i="7"/>
  <c r="AR12" i="1"/>
  <c r="DC12" i="7"/>
  <c r="AR13" i="1"/>
  <c r="DC13" i="7"/>
  <c r="AR14" i="1"/>
  <c r="DC14" i="7"/>
  <c r="AR15" i="1"/>
  <c r="DC15" i="7"/>
  <c r="AR16" i="1"/>
  <c r="DC16" i="7"/>
  <c r="AR3" i="1"/>
  <c r="DC3" i="7"/>
  <c r="AT4" i="1"/>
  <c r="CK4" i="7"/>
  <c r="AT5" i="1"/>
  <c r="CK5" i="7"/>
  <c r="AT6" i="1"/>
  <c r="CK6" i="7"/>
  <c r="CK7" i="7"/>
  <c r="AT8" i="1"/>
  <c r="CK8" i="7"/>
  <c r="AT9" i="1"/>
  <c r="CK9" i="7"/>
  <c r="AT10" i="1"/>
  <c r="CK10" i="7"/>
  <c r="AT11" i="1"/>
  <c r="CK11" i="7"/>
  <c r="CK12" i="7"/>
  <c r="AT13" i="1"/>
  <c r="CK13" i="7"/>
  <c r="AT14" i="1"/>
  <c r="CK14" i="7"/>
  <c r="AT15" i="1"/>
  <c r="CK15" i="7"/>
  <c r="AT16" i="1"/>
  <c r="CK16" i="7"/>
  <c r="AT3" i="1"/>
  <c r="CK3" i="7"/>
  <c r="B4" i="13"/>
  <c r="B6" i="13"/>
  <c r="B8" i="13"/>
  <c r="B9" i="13"/>
  <c r="B15" i="13"/>
  <c r="B14" i="13"/>
  <c r="A14" i="13"/>
  <c r="A15" i="13"/>
  <c r="B13" i="13"/>
  <c r="B12" i="13"/>
  <c r="B11" i="13"/>
  <c r="B10" i="13"/>
  <c r="B5" i="13"/>
  <c r="B7" i="13"/>
  <c r="A3" i="13"/>
  <c r="A4" i="13"/>
  <c r="A5" i="13"/>
  <c r="A6" i="13"/>
  <c r="A7" i="13"/>
  <c r="A8" i="13"/>
  <c r="A9" i="13"/>
  <c r="A10" i="13"/>
  <c r="A11" i="13"/>
  <c r="A12" i="13"/>
  <c r="A13" i="13"/>
  <c r="B3" i="13"/>
  <c r="A2" i="13"/>
  <c r="AS7" i="8"/>
  <c r="AS8" i="8"/>
  <c r="AS9" i="8"/>
  <c r="AS11" i="8"/>
  <c r="AS12" i="8"/>
  <c r="AS13" i="8"/>
  <c r="AS15" i="8"/>
  <c r="AS16" i="8"/>
  <c r="AS17" i="8"/>
  <c r="AL6" i="1"/>
  <c r="N6" i="8"/>
  <c r="AP6" i="1"/>
  <c r="V6" i="8"/>
  <c r="AD6" i="8"/>
  <c r="F6" i="8"/>
  <c r="AL8" i="1"/>
  <c r="N8" i="8"/>
  <c r="AP8" i="1"/>
  <c r="V8" i="8"/>
  <c r="AD8" i="8"/>
  <c r="F8" i="8"/>
  <c r="AL9" i="1"/>
  <c r="N9" i="8"/>
  <c r="AP9" i="1"/>
  <c r="V9" i="8"/>
  <c r="AD9" i="8"/>
  <c r="F9" i="8"/>
  <c r="AL10" i="1"/>
  <c r="N10" i="8"/>
  <c r="AP10" i="1"/>
  <c r="V10" i="8"/>
  <c r="AD10" i="8"/>
  <c r="F10" i="8"/>
  <c r="AL11" i="1"/>
  <c r="N11" i="8"/>
  <c r="AP11" i="1"/>
  <c r="V11" i="8"/>
  <c r="AD11" i="8"/>
  <c r="F11" i="8"/>
  <c r="AL13" i="1"/>
  <c r="N13" i="8"/>
  <c r="AP13" i="1"/>
  <c r="V13" i="8"/>
  <c r="AD13" i="8"/>
  <c r="F13" i="8"/>
  <c r="AL14" i="1"/>
  <c r="N14" i="8"/>
  <c r="AP14" i="1"/>
  <c r="V14" i="8"/>
  <c r="AD14" i="8"/>
  <c r="F14" i="8"/>
  <c r="AL15" i="1"/>
  <c r="N15" i="8"/>
  <c r="AP15" i="1"/>
  <c r="V15" i="8"/>
  <c r="AD15" i="8"/>
  <c r="F15" i="8"/>
  <c r="AL16" i="1"/>
  <c r="N16" i="8"/>
  <c r="AP16" i="1"/>
  <c r="V16" i="8"/>
  <c r="AD16" i="8"/>
  <c r="F16" i="8"/>
  <c r="AL5" i="1"/>
  <c r="N5" i="8"/>
  <c r="AP5" i="1"/>
  <c r="V5" i="8"/>
  <c r="AD5" i="8"/>
  <c r="F5" i="8"/>
  <c r="AP1" i="8"/>
  <c r="AP3" i="8"/>
  <c r="OJ4" i="1"/>
  <c r="AP4" i="8"/>
  <c r="OJ5" i="1"/>
  <c r="AP5" i="8"/>
  <c r="OJ6" i="1"/>
  <c r="AP6" i="8"/>
  <c r="OJ7" i="1"/>
  <c r="AP7" i="8"/>
  <c r="OJ8" i="1"/>
  <c r="AP8" i="8"/>
  <c r="OJ9" i="1"/>
  <c r="AP9" i="8"/>
  <c r="OJ10" i="1"/>
  <c r="AP10" i="8"/>
  <c r="OJ11" i="1"/>
  <c r="AP11" i="8"/>
  <c r="OJ12" i="1"/>
  <c r="AP12" i="8"/>
  <c r="OJ13" i="1"/>
  <c r="AP13" i="8"/>
  <c r="OJ14" i="1"/>
  <c r="AP14" i="8"/>
  <c r="OJ15" i="1"/>
  <c r="AP15" i="8"/>
  <c r="OJ16" i="1"/>
  <c r="AP16" i="8"/>
  <c r="OJ17" i="1"/>
  <c r="AP17" i="8"/>
  <c r="AP2" i="8"/>
  <c r="OX7" i="1"/>
  <c r="OX8" i="1"/>
  <c r="OX9" i="1"/>
  <c r="OX10" i="1"/>
  <c r="OX11" i="1"/>
  <c r="OX12" i="1"/>
  <c r="OX13" i="1"/>
  <c r="OX14" i="1"/>
  <c r="OX15" i="1"/>
  <c r="OX16" i="1"/>
  <c r="OX17" i="1"/>
  <c r="PD7" i="1"/>
  <c r="PD8" i="1"/>
  <c r="PD9" i="1"/>
  <c r="PD10" i="1"/>
  <c r="PD11" i="1"/>
  <c r="H4" i="11"/>
  <c r="BZ4" i="11"/>
  <c r="H5" i="11"/>
  <c r="BZ5" i="11"/>
  <c r="D6" i="8"/>
  <c r="H6" i="11"/>
  <c r="BZ6" i="11"/>
  <c r="D7" i="8"/>
  <c r="H7" i="11"/>
  <c r="BZ7" i="11"/>
  <c r="D8" i="8"/>
  <c r="H8" i="11"/>
  <c r="BZ8" i="11"/>
  <c r="D9" i="8"/>
  <c r="H9" i="11"/>
  <c r="BZ9" i="11"/>
  <c r="D10" i="8"/>
  <c r="H10" i="11"/>
  <c r="BZ10" i="11"/>
  <c r="D11" i="8"/>
  <c r="H11" i="11"/>
  <c r="BZ11" i="11"/>
  <c r="D12" i="8"/>
  <c r="H12" i="11"/>
  <c r="BZ12" i="11"/>
  <c r="D13" i="8"/>
  <c r="H13" i="11"/>
  <c r="BZ13" i="11"/>
  <c r="D14" i="8"/>
  <c r="H14" i="11"/>
  <c r="BZ14" i="11"/>
  <c r="D15" i="8"/>
  <c r="H15" i="11"/>
  <c r="BZ15" i="11"/>
  <c r="D16" i="8"/>
  <c r="H16" i="11"/>
  <c r="BZ16" i="11"/>
  <c r="D17" i="8"/>
  <c r="H17" i="11"/>
  <c r="BZ17" i="11"/>
  <c r="H3" i="11"/>
  <c r="BZ3" i="11"/>
  <c r="CO4" i="1"/>
  <c r="F4" i="11"/>
  <c r="BT4" i="11"/>
  <c r="CO5" i="1"/>
  <c r="F5" i="11"/>
  <c r="BT5" i="11"/>
  <c r="CO6" i="1"/>
  <c r="F6" i="11"/>
  <c r="BT6" i="11"/>
  <c r="CO7" i="1"/>
  <c r="F7" i="11"/>
  <c r="BT7" i="11"/>
  <c r="CO8" i="1"/>
  <c r="F8" i="11"/>
  <c r="BT8" i="11"/>
  <c r="CO9" i="1"/>
  <c r="F9" i="11"/>
  <c r="BT9" i="11"/>
  <c r="CO10" i="1"/>
  <c r="F10" i="11"/>
  <c r="BT10" i="11"/>
  <c r="CO11" i="1"/>
  <c r="F11" i="11"/>
  <c r="BT11" i="11"/>
  <c r="CO12" i="1"/>
  <c r="F12" i="11"/>
  <c r="BT12" i="11"/>
  <c r="CO13" i="1"/>
  <c r="F13" i="11"/>
  <c r="BT13" i="11"/>
  <c r="CO14" i="1"/>
  <c r="F14" i="11"/>
  <c r="BT14" i="11"/>
  <c r="CO15" i="1"/>
  <c r="F15" i="11"/>
  <c r="BT15" i="11"/>
  <c r="CO16" i="1"/>
  <c r="F16" i="11"/>
  <c r="BT16" i="11"/>
  <c r="CO17" i="1"/>
  <c r="F17" i="11"/>
  <c r="BT17" i="11"/>
  <c r="CO3" i="1"/>
  <c r="F3" i="11"/>
  <c r="BT3" i="11"/>
  <c r="BS4" i="11"/>
  <c r="BS5" i="11"/>
  <c r="BS6" i="11"/>
  <c r="BS7" i="11"/>
  <c r="BS8" i="11"/>
  <c r="BS9" i="11"/>
  <c r="BS10" i="11"/>
  <c r="BS11" i="11"/>
  <c r="BS12" i="11"/>
  <c r="BS13" i="11"/>
  <c r="BS14" i="11"/>
  <c r="BS15" i="11"/>
  <c r="BS16" i="11"/>
  <c r="BS17" i="11"/>
  <c r="BS3" i="11"/>
  <c r="AP4" i="1"/>
  <c r="CI4" i="1"/>
  <c r="D4" i="11"/>
  <c r="BQ4" i="11"/>
  <c r="CI5" i="1"/>
  <c r="D5" i="11"/>
  <c r="BQ5" i="11"/>
  <c r="CI6" i="1"/>
  <c r="D6" i="11"/>
  <c r="BQ6" i="11"/>
  <c r="CI7" i="1"/>
  <c r="D7" i="11"/>
  <c r="BQ7" i="11"/>
  <c r="CI8" i="1"/>
  <c r="D8" i="11"/>
  <c r="BQ8" i="11"/>
  <c r="CI9" i="1"/>
  <c r="D9" i="11"/>
  <c r="BQ9" i="11"/>
  <c r="CI10" i="1"/>
  <c r="D10" i="11"/>
  <c r="BQ10" i="11"/>
  <c r="CI11" i="1"/>
  <c r="D11" i="11"/>
  <c r="BQ11" i="11"/>
  <c r="CI12" i="1"/>
  <c r="D12" i="11"/>
  <c r="BQ12" i="11"/>
  <c r="CI13" i="1"/>
  <c r="D13" i="11"/>
  <c r="BQ13" i="11"/>
  <c r="CI14" i="1"/>
  <c r="D14" i="11"/>
  <c r="BQ14" i="11"/>
  <c r="CI15" i="1"/>
  <c r="D15" i="11"/>
  <c r="BQ15" i="11"/>
  <c r="CI16" i="1"/>
  <c r="D16" i="11"/>
  <c r="BQ16" i="11"/>
  <c r="CI17" i="1"/>
  <c r="D17" i="11"/>
  <c r="BQ17" i="11"/>
  <c r="AP3" i="1"/>
  <c r="CI3" i="1"/>
  <c r="D3" i="11"/>
  <c r="BQ3" i="11"/>
  <c r="BP4" i="11"/>
  <c r="BP5" i="11"/>
  <c r="BP6" i="11"/>
  <c r="BP7" i="11"/>
  <c r="BP8" i="11"/>
  <c r="BP9" i="11"/>
  <c r="BP10" i="11"/>
  <c r="BP11" i="11"/>
  <c r="BP12" i="11"/>
  <c r="BP13" i="11"/>
  <c r="BP14" i="11"/>
  <c r="BP15" i="11"/>
  <c r="BP16" i="11"/>
  <c r="BP17" i="11"/>
  <c r="BP3" i="11"/>
  <c r="AL4" i="1"/>
  <c r="CC4" i="1"/>
  <c r="B4" i="11"/>
  <c r="BN4" i="11"/>
  <c r="CC5" i="1"/>
  <c r="B5" i="11"/>
  <c r="BN5" i="11"/>
  <c r="CC6" i="1"/>
  <c r="B6" i="11"/>
  <c r="BN6" i="11"/>
  <c r="CC7" i="1"/>
  <c r="B7" i="11"/>
  <c r="BN7" i="11"/>
  <c r="CC8" i="1"/>
  <c r="B8" i="11"/>
  <c r="BN8" i="11"/>
  <c r="CC9" i="1"/>
  <c r="B9" i="11"/>
  <c r="BN9" i="11"/>
  <c r="CC10" i="1"/>
  <c r="B10" i="11"/>
  <c r="BN10" i="11"/>
  <c r="CC11" i="1"/>
  <c r="B11" i="11"/>
  <c r="BN11" i="11"/>
  <c r="ES12" i="1"/>
  <c r="ET12" i="1"/>
  <c r="CC12" i="1"/>
  <c r="B12" i="11"/>
  <c r="BN12" i="11"/>
  <c r="ES13" i="1"/>
  <c r="ET13" i="1"/>
  <c r="CC13" i="1"/>
  <c r="B13" i="11"/>
  <c r="BN13" i="11"/>
  <c r="ES14" i="1"/>
  <c r="ET14" i="1"/>
  <c r="CC14" i="1"/>
  <c r="B14" i="11"/>
  <c r="BN14" i="11"/>
  <c r="ES15" i="1"/>
  <c r="ET15" i="1"/>
  <c r="CC15" i="1"/>
  <c r="B15" i="11"/>
  <c r="BN15" i="11"/>
  <c r="ES16" i="1"/>
  <c r="ET16" i="1"/>
  <c r="CC16" i="1"/>
  <c r="B16" i="11"/>
  <c r="BN16" i="11"/>
  <c r="ES17" i="1"/>
  <c r="ET17" i="1"/>
  <c r="CC17" i="1"/>
  <c r="B17" i="11"/>
  <c r="BN17" i="11"/>
  <c r="AL3" i="1"/>
  <c r="CC3" i="1"/>
  <c r="B3" i="11"/>
  <c r="BN3" i="11"/>
  <c r="BM4" i="11"/>
  <c r="BM5" i="11"/>
  <c r="BM6" i="11"/>
  <c r="BM7" i="11"/>
  <c r="BM8" i="11"/>
  <c r="BM9" i="11"/>
  <c r="BM10" i="11"/>
  <c r="BM11" i="11"/>
  <c r="BM12" i="11"/>
  <c r="BM13" i="11"/>
  <c r="BM14" i="11"/>
  <c r="BM15" i="11"/>
  <c r="BM16" i="11"/>
  <c r="BM17" i="11"/>
  <c r="BM3" i="11"/>
  <c r="BY4" i="11"/>
  <c r="BY3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5" i="11"/>
  <c r="BA6" i="11"/>
  <c r="BA7" i="11"/>
  <c r="BA8" i="11"/>
  <c r="BA9" i="11"/>
  <c r="BA10" i="11"/>
  <c r="BA11" i="11"/>
  <c r="BA12" i="11"/>
  <c r="BA13" i="11"/>
  <c r="BA14" i="11"/>
  <c r="BA15" i="11"/>
  <c r="BA16" i="11"/>
  <c r="BA17" i="11"/>
  <c r="BA5" i="11"/>
  <c r="BA4" i="11"/>
  <c r="BA3" i="11"/>
  <c r="AZ4" i="11"/>
  <c r="AZ3" i="11"/>
  <c r="AU4" i="11"/>
  <c r="AU5" i="11"/>
  <c r="AU6" i="11"/>
  <c r="AU7" i="11"/>
  <c r="AU8" i="11"/>
  <c r="AU9" i="11"/>
  <c r="AU10" i="11"/>
  <c r="AU11" i="11"/>
  <c r="AU12" i="11"/>
  <c r="AU13" i="11"/>
  <c r="AU14" i="11"/>
  <c r="AU15" i="11"/>
  <c r="AU16" i="11"/>
  <c r="AU17" i="11"/>
  <c r="AU3" i="11"/>
  <c r="AT4" i="11"/>
  <c r="AT5" i="11"/>
  <c r="AT6" i="11"/>
  <c r="AT7" i="11"/>
  <c r="AT8" i="11"/>
  <c r="AT9" i="11"/>
  <c r="AT10" i="11"/>
  <c r="AT11" i="11"/>
  <c r="AT12" i="11"/>
  <c r="AT13" i="11"/>
  <c r="AT14" i="11"/>
  <c r="AT15" i="11"/>
  <c r="AT16" i="11"/>
  <c r="AT17" i="11"/>
  <c r="AT3" i="11"/>
  <c r="AR4" i="11"/>
  <c r="AR5" i="11"/>
  <c r="AR6" i="11"/>
  <c r="AR7" i="11"/>
  <c r="AR8" i="11"/>
  <c r="AR9" i="11"/>
  <c r="AR10" i="11"/>
  <c r="AR11" i="11"/>
  <c r="AR12" i="11"/>
  <c r="AR13" i="11"/>
  <c r="AR14" i="11"/>
  <c r="AR15" i="11"/>
  <c r="AR16" i="11"/>
  <c r="AR17" i="11"/>
  <c r="AR3" i="11"/>
  <c r="AQ4" i="11"/>
  <c r="AQ5" i="11"/>
  <c r="AQ6" i="11"/>
  <c r="AQ7" i="11"/>
  <c r="AQ8" i="11"/>
  <c r="AQ9" i="11"/>
  <c r="AQ10" i="11"/>
  <c r="AQ11" i="11"/>
  <c r="AQ12" i="11"/>
  <c r="AQ13" i="11"/>
  <c r="AQ14" i="11"/>
  <c r="AQ15" i="11"/>
  <c r="AQ16" i="11"/>
  <c r="AQ17" i="11"/>
  <c r="AQ3" i="11"/>
  <c r="AO4" i="11"/>
  <c r="AO5" i="11"/>
  <c r="AO6" i="11"/>
  <c r="AO7" i="11"/>
  <c r="AO8" i="11"/>
  <c r="AO9" i="11"/>
  <c r="AO10" i="11"/>
  <c r="AO11" i="11"/>
  <c r="AO12" i="11"/>
  <c r="AO13" i="11"/>
  <c r="AO14" i="11"/>
  <c r="AO15" i="11"/>
  <c r="AO16" i="11"/>
  <c r="AO17" i="11"/>
  <c r="AO3" i="11"/>
  <c r="AN4" i="11"/>
  <c r="AN5" i="11"/>
  <c r="AN6" i="11"/>
  <c r="AN7" i="11"/>
  <c r="AN8" i="11"/>
  <c r="AN9" i="11"/>
  <c r="AN10" i="11"/>
  <c r="AN11" i="11"/>
  <c r="AN12" i="11"/>
  <c r="AN13" i="11"/>
  <c r="AN14" i="11"/>
  <c r="AN15" i="11"/>
  <c r="AN16" i="11"/>
  <c r="AN17" i="11"/>
  <c r="AN3" i="11"/>
  <c r="AB4" i="11"/>
  <c r="AB3" i="11"/>
  <c r="AA4" i="11"/>
  <c r="AA3" i="11"/>
  <c r="H2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3" i="11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3" i="11"/>
  <c r="I3" i="11"/>
  <c r="I4" i="11"/>
  <c r="B5" i="8"/>
  <c r="E5" i="8"/>
  <c r="I5" i="11"/>
  <c r="B6" i="8"/>
  <c r="E6" i="8"/>
  <c r="I6" i="11"/>
  <c r="B7" i="8"/>
  <c r="E7" i="8"/>
  <c r="I7" i="11"/>
  <c r="B8" i="8"/>
  <c r="E8" i="8"/>
  <c r="I8" i="11"/>
  <c r="B9" i="8"/>
  <c r="E9" i="8"/>
  <c r="I9" i="11"/>
  <c r="B10" i="8"/>
  <c r="E10" i="8"/>
  <c r="I10" i="11"/>
  <c r="B11" i="8"/>
  <c r="E11" i="8"/>
  <c r="I11" i="11"/>
  <c r="B12" i="8"/>
  <c r="E12" i="8"/>
  <c r="I12" i="11"/>
  <c r="B13" i="8"/>
  <c r="E13" i="8"/>
  <c r="I13" i="11"/>
  <c r="B14" i="8"/>
  <c r="E14" i="8"/>
  <c r="I14" i="11"/>
  <c r="B15" i="8"/>
  <c r="E15" i="8"/>
  <c r="I15" i="11"/>
  <c r="B16" i="8"/>
  <c r="E16" i="8"/>
  <c r="I16" i="11"/>
  <c r="B17" i="8"/>
  <c r="E17" i="8"/>
  <c r="I17" i="11"/>
  <c r="I2" i="11"/>
  <c r="J3" i="11"/>
  <c r="K3" i="11"/>
  <c r="L3" i="11"/>
  <c r="J4" i="11"/>
  <c r="K4" i="11"/>
  <c r="L4" i="11"/>
  <c r="J5" i="11"/>
  <c r="K5" i="11"/>
  <c r="L5" i="11"/>
  <c r="J6" i="11"/>
  <c r="K6" i="11"/>
  <c r="L6" i="11"/>
  <c r="J7" i="11"/>
  <c r="K7" i="11"/>
  <c r="L7" i="11"/>
  <c r="J8" i="11"/>
  <c r="K8" i="11"/>
  <c r="L8" i="11"/>
  <c r="J9" i="11"/>
  <c r="K9" i="11"/>
  <c r="L9" i="11"/>
  <c r="J10" i="11"/>
  <c r="K10" i="11"/>
  <c r="L10" i="11"/>
  <c r="J11" i="11"/>
  <c r="K11" i="11"/>
  <c r="L11" i="11"/>
  <c r="J12" i="11"/>
  <c r="K12" i="11"/>
  <c r="L12" i="11"/>
  <c r="J13" i="11"/>
  <c r="K13" i="11"/>
  <c r="L13" i="11"/>
  <c r="J14" i="11"/>
  <c r="K14" i="11"/>
  <c r="L14" i="11"/>
  <c r="J15" i="11"/>
  <c r="K15" i="11"/>
  <c r="L15" i="11"/>
  <c r="J16" i="11"/>
  <c r="K16" i="11"/>
  <c r="L16" i="11"/>
  <c r="J17" i="11"/>
  <c r="K17" i="11"/>
  <c r="L17" i="11"/>
  <c r="K2" i="11"/>
  <c r="L2" i="11"/>
  <c r="J2" i="11"/>
  <c r="R3" i="1"/>
  <c r="CP3" i="1"/>
  <c r="G3" i="11"/>
  <c r="O4" i="1"/>
  <c r="R4" i="1"/>
  <c r="CP4" i="1"/>
  <c r="G4" i="11"/>
  <c r="O5" i="1"/>
  <c r="R5" i="1"/>
  <c r="CP5" i="1"/>
  <c r="G5" i="11"/>
  <c r="O6" i="1"/>
  <c r="R6" i="1"/>
  <c r="CP6" i="1"/>
  <c r="G6" i="11"/>
  <c r="O7" i="1"/>
  <c r="R7" i="1"/>
  <c r="CP7" i="1"/>
  <c r="G7" i="11"/>
  <c r="O8" i="1"/>
  <c r="R8" i="1"/>
  <c r="CP8" i="1"/>
  <c r="G8" i="11"/>
  <c r="R9" i="1"/>
  <c r="CP9" i="1"/>
  <c r="G9" i="11"/>
  <c r="R10" i="1"/>
  <c r="CP10" i="1"/>
  <c r="G10" i="11"/>
  <c r="G11" i="11"/>
  <c r="O12" i="1"/>
  <c r="R12" i="1"/>
  <c r="CP12" i="1"/>
  <c r="G12" i="11"/>
  <c r="O13" i="1"/>
  <c r="R13" i="1"/>
  <c r="CP13" i="1"/>
  <c r="G13" i="11"/>
  <c r="O14" i="1"/>
  <c r="R14" i="1"/>
  <c r="CP14" i="1"/>
  <c r="G14" i="11"/>
  <c r="O15" i="1"/>
  <c r="R15" i="1"/>
  <c r="CP15" i="1"/>
  <c r="G15" i="11"/>
  <c r="O16" i="1"/>
  <c r="R16" i="1"/>
  <c r="CP16" i="1"/>
  <c r="G16" i="11"/>
  <c r="O17" i="1"/>
  <c r="R17" i="1"/>
  <c r="CP17" i="1"/>
  <c r="G17" i="11"/>
  <c r="G2" i="11"/>
  <c r="F2" i="11"/>
  <c r="E2" i="11"/>
  <c r="Q3" i="1"/>
  <c r="AN3" i="1"/>
  <c r="CJ3" i="1"/>
  <c r="E3" i="11"/>
  <c r="Q4" i="1"/>
  <c r="AN4" i="1"/>
  <c r="CJ4" i="1"/>
  <c r="E4" i="11"/>
  <c r="Q5" i="1"/>
  <c r="AN5" i="1"/>
  <c r="CJ5" i="1"/>
  <c r="E5" i="11"/>
  <c r="Q6" i="1"/>
  <c r="AN6" i="1"/>
  <c r="CJ6" i="1"/>
  <c r="E6" i="11"/>
  <c r="Q7" i="1"/>
  <c r="AN7" i="1"/>
  <c r="CJ7" i="1"/>
  <c r="E7" i="11"/>
  <c r="Q8" i="1"/>
  <c r="AN8" i="1"/>
  <c r="CJ8" i="1"/>
  <c r="E8" i="11"/>
  <c r="Q9" i="1"/>
  <c r="AN9" i="1"/>
  <c r="CJ9" i="1"/>
  <c r="E9" i="11"/>
  <c r="Q10" i="1"/>
  <c r="AN10" i="1"/>
  <c r="CJ10" i="1"/>
  <c r="E10" i="11"/>
  <c r="Q11" i="1"/>
  <c r="AN11" i="1"/>
  <c r="CJ11" i="1"/>
  <c r="E11" i="11"/>
  <c r="FN12" i="1"/>
  <c r="Q12" i="1"/>
  <c r="AN12" i="1"/>
  <c r="CJ12" i="1"/>
  <c r="E12" i="11"/>
  <c r="FN13" i="1"/>
  <c r="Q13" i="1"/>
  <c r="AN13" i="1"/>
  <c r="CJ13" i="1"/>
  <c r="E13" i="11"/>
  <c r="FN14" i="1"/>
  <c r="Q14" i="1"/>
  <c r="AN14" i="1"/>
  <c r="CJ14" i="1"/>
  <c r="E14" i="11"/>
  <c r="FN15" i="1"/>
  <c r="Q15" i="1"/>
  <c r="AN15" i="1"/>
  <c r="CJ15" i="1"/>
  <c r="E15" i="11"/>
  <c r="FN16" i="1"/>
  <c r="Q16" i="1"/>
  <c r="AN16" i="1"/>
  <c r="CJ16" i="1"/>
  <c r="E16" i="11"/>
  <c r="FN17" i="1"/>
  <c r="Q17" i="1"/>
  <c r="CJ17" i="1"/>
  <c r="E17" i="11"/>
  <c r="D2" i="11"/>
  <c r="AJ3" i="1"/>
  <c r="P3" i="1"/>
  <c r="CD3" i="1"/>
  <c r="C3" i="11"/>
  <c r="AJ4" i="1"/>
  <c r="P4" i="1"/>
  <c r="CD4" i="1"/>
  <c r="C4" i="11"/>
  <c r="AJ5" i="1"/>
  <c r="P5" i="1"/>
  <c r="CD5" i="1"/>
  <c r="C5" i="11"/>
  <c r="AJ6" i="1"/>
  <c r="P6" i="1"/>
  <c r="CD6" i="1"/>
  <c r="C6" i="11"/>
  <c r="AJ7" i="1"/>
  <c r="P7" i="1"/>
  <c r="CD7" i="1"/>
  <c r="C7" i="11"/>
  <c r="AJ8" i="1"/>
  <c r="P8" i="1"/>
  <c r="CD8" i="1"/>
  <c r="C8" i="11"/>
  <c r="AJ9" i="1"/>
  <c r="P9" i="1"/>
  <c r="CD9" i="1"/>
  <c r="C9" i="11"/>
  <c r="AJ10" i="1"/>
  <c r="P10" i="1"/>
  <c r="CD10" i="1"/>
  <c r="C10" i="11"/>
  <c r="AJ11" i="1"/>
  <c r="P11" i="1"/>
  <c r="CD11" i="1"/>
  <c r="C11" i="11"/>
  <c r="AJ12" i="1"/>
  <c r="EU12" i="1"/>
  <c r="EV12" i="1"/>
  <c r="EC12" i="1"/>
  <c r="P12" i="1"/>
  <c r="CD12" i="1"/>
  <c r="C12" i="11"/>
  <c r="AJ13" i="1"/>
  <c r="EU13" i="1"/>
  <c r="EV13" i="1"/>
  <c r="EC13" i="1"/>
  <c r="P13" i="1"/>
  <c r="CD13" i="1"/>
  <c r="C13" i="11"/>
  <c r="AJ14" i="1"/>
  <c r="EV14" i="1"/>
  <c r="EC14" i="1"/>
  <c r="P14" i="1"/>
  <c r="CD14" i="1"/>
  <c r="C14" i="11"/>
  <c r="AJ15" i="1"/>
  <c r="EU15" i="1"/>
  <c r="EV15" i="1"/>
  <c r="EC15" i="1"/>
  <c r="P15" i="1"/>
  <c r="CD15" i="1"/>
  <c r="C15" i="11"/>
  <c r="AJ16" i="1"/>
  <c r="EU16" i="1"/>
  <c r="EV16" i="1"/>
  <c r="EC16" i="1"/>
  <c r="P16" i="1"/>
  <c r="CD16" i="1"/>
  <c r="C16" i="11"/>
  <c r="EU17" i="1"/>
  <c r="EV17" i="1"/>
  <c r="EC17" i="1"/>
  <c r="P17" i="1"/>
  <c r="CD17" i="1"/>
  <c r="C17" i="11"/>
  <c r="C2" i="11"/>
  <c r="B2" i="11"/>
  <c r="A12" i="1"/>
  <c r="A13" i="1"/>
  <c r="A14" i="1"/>
  <c r="A15" i="1"/>
  <c r="A16" i="1"/>
  <c r="A16" i="11"/>
  <c r="A17" i="1"/>
  <c r="A17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2" i="11"/>
  <c r="PM9" i="1"/>
  <c r="PM10" i="1"/>
  <c r="PM11" i="1"/>
  <c r="PM12" i="1"/>
  <c r="PM13" i="1"/>
  <c r="PM14" i="1"/>
  <c r="PM15" i="1"/>
  <c r="PM16" i="1"/>
  <c r="PM17" i="1"/>
  <c r="PL7" i="1"/>
  <c r="PL8" i="1"/>
  <c r="PL9" i="1"/>
  <c r="PL10" i="1"/>
  <c r="PL11" i="1"/>
  <c r="PL12" i="1"/>
  <c r="PL13" i="1"/>
  <c r="PL14" i="1"/>
  <c r="PL15" i="1"/>
  <c r="PL16" i="1"/>
  <c r="PL17" i="1"/>
  <c r="PE10" i="1"/>
  <c r="PE11" i="1"/>
  <c r="PE12" i="1"/>
  <c r="PE13" i="1"/>
  <c r="PE14" i="1"/>
  <c r="PE15" i="1"/>
  <c r="PE16" i="1"/>
  <c r="PE17" i="1"/>
  <c r="PD12" i="1"/>
  <c r="PD13" i="1"/>
  <c r="PD14" i="1"/>
  <c r="PD15" i="1"/>
  <c r="PD16" i="1"/>
  <c r="PD17" i="1"/>
  <c r="PJ7" i="1"/>
  <c r="PJ8" i="1"/>
  <c r="PJ9" i="1"/>
  <c r="PJ10" i="1"/>
  <c r="PJ11" i="1"/>
  <c r="PJ12" i="1"/>
  <c r="PJ13" i="1"/>
  <c r="PJ14" i="1"/>
  <c r="PJ15" i="1"/>
  <c r="PJ16" i="1"/>
  <c r="PJ17" i="1"/>
  <c r="PJ6" i="1"/>
  <c r="PH7" i="1"/>
  <c r="PH8" i="1"/>
  <c r="PH9" i="1"/>
  <c r="PH10" i="1"/>
  <c r="PH11" i="1"/>
  <c r="PH12" i="1"/>
  <c r="PH13" i="1"/>
  <c r="PH14" i="1"/>
  <c r="PH15" i="1"/>
  <c r="PH16" i="1"/>
  <c r="PH17" i="1"/>
  <c r="PH6" i="1"/>
  <c r="PG17" i="1"/>
  <c r="PG16" i="1"/>
  <c r="PG15" i="1"/>
  <c r="PG14" i="1"/>
  <c r="PG13" i="1"/>
  <c r="PG12" i="1"/>
  <c r="PG11" i="1"/>
  <c r="PG10" i="1"/>
  <c r="PG9" i="1"/>
  <c r="PG8" i="1"/>
  <c r="PG7" i="1"/>
  <c r="PG6" i="1"/>
  <c r="PC7" i="1"/>
  <c r="PC8" i="1"/>
  <c r="PC9" i="1"/>
  <c r="PC10" i="1"/>
  <c r="PC11" i="1"/>
  <c r="PC12" i="1"/>
  <c r="PC13" i="1"/>
  <c r="PC14" i="1"/>
  <c r="PC15" i="1"/>
  <c r="PC16" i="1"/>
  <c r="PC17" i="1"/>
  <c r="PC6" i="1"/>
  <c r="OZ7" i="1"/>
  <c r="OZ8" i="1"/>
  <c r="OZ9" i="1"/>
  <c r="OZ10" i="1"/>
  <c r="OZ11" i="1"/>
  <c r="OZ12" i="1"/>
  <c r="OZ13" i="1"/>
  <c r="OZ14" i="1"/>
  <c r="OZ15" i="1"/>
  <c r="OZ16" i="1"/>
  <c r="OZ17" i="1"/>
  <c r="OZ6" i="1"/>
  <c r="BD16" i="1"/>
  <c r="BF16" i="1"/>
  <c r="BH16" i="1"/>
  <c r="BJ16" i="1"/>
  <c r="AH16" i="1"/>
  <c r="F42" i="10"/>
  <c r="BD12" i="1"/>
  <c r="BF12" i="1"/>
  <c r="BH12" i="1"/>
  <c r="BJ12" i="1"/>
  <c r="AH12" i="1"/>
  <c r="F41" i="10"/>
  <c r="BD5" i="1"/>
  <c r="BF5" i="1"/>
  <c r="BH5" i="1"/>
  <c r="BJ5" i="1"/>
  <c r="AH5" i="1"/>
  <c r="F40" i="10"/>
  <c r="BD4" i="1"/>
  <c r="BF4" i="1"/>
  <c r="BH4" i="1"/>
  <c r="BJ4" i="1"/>
  <c r="AH4" i="1"/>
  <c r="BD6" i="1"/>
  <c r="BF6" i="1"/>
  <c r="BH6" i="1"/>
  <c r="BJ6" i="1"/>
  <c r="AH6" i="1"/>
  <c r="BD7" i="1"/>
  <c r="BF7" i="1"/>
  <c r="BH7" i="1"/>
  <c r="BJ7" i="1"/>
  <c r="AH7" i="1"/>
  <c r="BD8" i="1"/>
  <c r="BF8" i="1"/>
  <c r="BH8" i="1"/>
  <c r="BJ8" i="1"/>
  <c r="AH8" i="1"/>
  <c r="BD9" i="1"/>
  <c r="BF9" i="1"/>
  <c r="BH9" i="1"/>
  <c r="BJ9" i="1"/>
  <c r="AH9" i="1"/>
  <c r="BD10" i="1"/>
  <c r="BF10" i="1"/>
  <c r="BH10" i="1"/>
  <c r="BJ10" i="1"/>
  <c r="AH10" i="1"/>
  <c r="BD11" i="1"/>
  <c r="BF11" i="1"/>
  <c r="BH11" i="1"/>
  <c r="BJ11" i="1"/>
  <c r="AH11" i="1"/>
  <c r="BD13" i="1"/>
  <c r="BF13" i="1"/>
  <c r="BH13" i="1"/>
  <c r="BJ13" i="1"/>
  <c r="AH13" i="1"/>
  <c r="BD14" i="1"/>
  <c r="BF14" i="1"/>
  <c r="BH14" i="1"/>
  <c r="BJ14" i="1"/>
  <c r="AH14" i="1"/>
  <c r="BD15" i="1"/>
  <c r="BF15" i="1"/>
  <c r="BH15" i="1"/>
  <c r="BJ15" i="1"/>
  <c r="AH15" i="1"/>
  <c r="BD17" i="1"/>
  <c r="BF17" i="1"/>
  <c r="BH17" i="1"/>
  <c r="BJ17" i="1"/>
  <c r="AH17" i="1"/>
  <c r="BD3" i="1"/>
  <c r="BF3" i="1"/>
  <c r="BH3" i="1"/>
  <c r="BJ3" i="1"/>
  <c r="AH3" i="1"/>
  <c r="BB8" i="1"/>
  <c r="F38" i="10"/>
  <c r="BB16" i="1"/>
  <c r="F39" i="10"/>
  <c r="BB5" i="1"/>
  <c r="F37" i="10"/>
  <c r="NR12" i="1"/>
  <c r="F33" i="10"/>
  <c r="NR8" i="1"/>
  <c r="F32" i="10"/>
  <c r="NR5" i="1"/>
  <c r="F31" i="10"/>
  <c r="F27" i="10"/>
  <c r="F26" i="10"/>
  <c r="I26" i="10"/>
  <c r="I27" i="10"/>
  <c r="F25" i="10"/>
  <c r="I25" i="10"/>
  <c r="F21" i="10"/>
  <c r="F24" i="10"/>
  <c r="F23" i="10"/>
  <c r="H23" i="10"/>
  <c r="H24" i="10"/>
  <c r="F22" i="10"/>
  <c r="H22" i="10"/>
  <c r="F20" i="10"/>
  <c r="G20" i="10"/>
  <c r="G21" i="10"/>
  <c r="F19" i="10"/>
  <c r="G19" i="10"/>
  <c r="CQ16" i="1"/>
  <c r="F16" i="10"/>
  <c r="CQ13" i="1"/>
  <c r="F15" i="10"/>
  <c r="CQ10" i="1"/>
  <c r="F14" i="10"/>
  <c r="CK16" i="1"/>
  <c r="F18" i="10"/>
  <c r="CE15" i="1"/>
  <c r="F17" i="10"/>
  <c r="CK10" i="1"/>
  <c r="F6" i="10"/>
  <c r="CE9" i="1"/>
  <c r="F5" i="10"/>
  <c r="CK5" i="1"/>
  <c r="F3" i="10"/>
  <c r="CE5" i="1"/>
  <c r="F2" i="10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R4" i="9"/>
  <c r="R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" i="9"/>
  <c r="BB17" i="1"/>
  <c r="BB15" i="1"/>
  <c r="BB14" i="1"/>
  <c r="BB13" i="1"/>
  <c r="BB12" i="1"/>
  <c r="BB11" i="1"/>
  <c r="BB10" i="1"/>
  <c r="BB9" i="1"/>
  <c r="BB7" i="1"/>
  <c r="BB6" i="1"/>
  <c r="BB4" i="1"/>
  <c r="BB3" i="1"/>
  <c r="JR4" i="1"/>
  <c r="KE3" i="1"/>
  <c r="KB3" i="1"/>
  <c r="JZ3" i="1"/>
  <c r="JX3" i="1"/>
  <c r="JU3" i="1"/>
  <c r="JR5" i="1"/>
  <c r="JR6" i="1"/>
  <c r="JR7" i="1"/>
  <c r="JR8" i="1"/>
  <c r="JR9" i="1"/>
  <c r="JR10" i="1"/>
  <c r="JR11" i="1"/>
  <c r="JR12" i="1"/>
  <c r="JR13" i="1"/>
  <c r="JR14" i="1"/>
  <c r="JR15" i="1"/>
  <c r="JR16" i="1"/>
  <c r="JR17" i="1"/>
  <c r="KE4" i="1"/>
  <c r="KE5" i="1"/>
  <c r="KE6" i="1"/>
  <c r="KE7" i="1"/>
  <c r="KE8" i="1"/>
  <c r="KE9" i="1"/>
  <c r="KE10" i="1"/>
  <c r="KE11" i="1"/>
  <c r="KE12" i="1"/>
  <c r="KE13" i="1"/>
  <c r="KE14" i="1"/>
  <c r="KE15" i="1"/>
  <c r="KE16" i="1"/>
  <c r="KE17" i="1"/>
  <c r="KC17" i="1"/>
  <c r="CV4" i="1"/>
  <c r="DG4" i="1"/>
  <c r="KB4" i="1"/>
  <c r="KB5" i="1"/>
  <c r="KB6" i="1"/>
  <c r="KB7" i="1"/>
  <c r="KB8" i="1"/>
  <c r="KB9" i="1"/>
  <c r="KB10" i="1"/>
  <c r="KB11" i="1"/>
  <c r="KB12" i="1"/>
  <c r="KB13" i="1"/>
  <c r="KB14" i="1"/>
  <c r="KB15" i="1"/>
  <c r="KB16" i="1"/>
  <c r="KB17" i="1"/>
  <c r="JZ5" i="1"/>
  <c r="JZ6" i="1"/>
  <c r="JZ7" i="1"/>
  <c r="JZ8" i="1"/>
  <c r="JZ9" i="1"/>
  <c r="JZ10" i="1"/>
  <c r="JZ11" i="1"/>
  <c r="JZ12" i="1"/>
  <c r="JZ13" i="1"/>
  <c r="JZ14" i="1"/>
  <c r="JZ15" i="1"/>
  <c r="JZ16" i="1"/>
  <c r="JZ17" i="1"/>
  <c r="JX4" i="1"/>
  <c r="JX5" i="1"/>
  <c r="JX6" i="1"/>
  <c r="JX7" i="1"/>
  <c r="JX8" i="1"/>
  <c r="JX9" i="1"/>
  <c r="JX10" i="1"/>
  <c r="JX11" i="1"/>
  <c r="JX12" i="1"/>
  <c r="JX13" i="1"/>
  <c r="JX14" i="1"/>
  <c r="JX15" i="1"/>
  <c r="JX16" i="1"/>
  <c r="JX17" i="1"/>
  <c r="CY4" i="1"/>
  <c r="JU4" i="1"/>
  <c r="JU5" i="1"/>
  <c r="JU6" i="1"/>
  <c r="JU7" i="1"/>
  <c r="JU8" i="1"/>
  <c r="JU9" i="1"/>
  <c r="JU10" i="1"/>
  <c r="JU11" i="1"/>
  <c r="JU12" i="1"/>
  <c r="JU13" i="1"/>
  <c r="JU14" i="1"/>
  <c r="JU15" i="1"/>
  <c r="JU16" i="1"/>
  <c r="JU17" i="1"/>
  <c r="JV3" i="1"/>
  <c r="JV4" i="1"/>
  <c r="JV5" i="1"/>
  <c r="JV6" i="1"/>
  <c r="JV7" i="1"/>
  <c r="JV8" i="1"/>
  <c r="JV9" i="1"/>
  <c r="JV10" i="1"/>
  <c r="JV11" i="1"/>
  <c r="JV12" i="1"/>
  <c r="JV13" i="1"/>
  <c r="JV14" i="1"/>
  <c r="JV15" i="1"/>
  <c r="JV16" i="1"/>
  <c r="JV17" i="1"/>
  <c r="KC16" i="1"/>
  <c r="KC15" i="1"/>
  <c r="KC14" i="1"/>
  <c r="KC13" i="1"/>
  <c r="KC12" i="1"/>
  <c r="KC11" i="1"/>
  <c r="KC10" i="1"/>
  <c r="KC9" i="1"/>
  <c r="KC8" i="1"/>
  <c r="KC7" i="1"/>
  <c r="KC6" i="1"/>
  <c r="KC5" i="1"/>
  <c r="KC4" i="1"/>
  <c r="KC3" i="1"/>
  <c r="AN15" i="8"/>
  <c r="AN16" i="8"/>
  <c r="AN17" i="8"/>
  <c r="AN10" i="8"/>
  <c r="AN11" i="8"/>
  <c r="AN12" i="8"/>
  <c r="AN13" i="8"/>
  <c r="AN8" i="8"/>
  <c r="AK2" i="8"/>
  <c r="AK3" i="8"/>
  <c r="IK4" i="1"/>
  <c r="AK4" i="8"/>
  <c r="IK5" i="1"/>
  <c r="AK5" i="8"/>
  <c r="IK6" i="1"/>
  <c r="AK6" i="8"/>
  <c r="IK7" i="1"/>
  <c r="AK7" i="8"/>
  <c r="IK8" i="1"/>
  <c r="AK8" i="8"/>
  <c r="IK9" i="1"/>
  <c r="AK9" i="8"/>
  <c r="IK10" i="1"/>
  <c r="AK10" i="8"/>
  <c r="IK11" i="1"/>
  <c r="AK11" i="8"/>
  <c r="IK12" i="1"/>
  <c r="AK12" i="8"/>
  <c r="IK13" i="1"/>
  <c r="AK13" i="8"/>
  <c r="IK14" i="1"/>
  <c r="AK14" i="8"/>
  <c r="IK15" i="1"/>
  <c r="AK15" i="8"/>
  <c r="IK16" i="1"/>
  <c r="AK16" i="8"/>
  <c r="IK17" i="1"/>
  <c r="AK17" i="8"/>
  <c r="AK1" i="8"/>
  <c r="AH6" i="8"/>
  <c r="AH7" i="8"/>
  <c r="AH8" i="8"/>
  <c r="AH9" i="8"/>
  <c r="AH10" i="8"/>
  <c r="AH11" i="8"/>
  <c r="AH12" i="8"/>
  <c r="AH13" i="8"/>
  <c r="AH14" i="8"/>
  <c r="AH15" i="8"/>
  <c r="AH16" i="8"/>
  <c r="AH17" i="8"/>
  <c r="AE17" i="8"/>
  <c r="AI17" i="8"/>
  <c r="AE16" i="8"/>
  <c r="AI16" i="8"/>
  <c r="AE15" i="8"/>
  <c r="AI15" i="8"/>
  <c r="AE14" i="8"/>
  <c r="AI14" i="8"/>
  <c r="AE13" i="8"/>
  <c r="AI13" i="8"/>
  <c r="AE12" i="8"/>
  <c r="AI12" i="8"/>
  <c r="AE11" i="8"/>
  <c r="AI11" i="8"/>
  <c r="AE10" i="8"/>
  <c r="AI10" i="8"/>
  <c r="AE9" i="8"/>
  <c r="AI9" i="8"/>
  <c r="AE8" i="8"/>
  <c r="AI8" i="8"/>
  <c r="AE7" i="8"/>
  <c r="AI7" i="8"/>
  <c r="AE6" i="8"/>
  <c r="AI6" i="8"/>
  <c r="AE5" i="8"/>
  <c r="AI5" i="8"/>
  <c r="Z6" i="8"/>
  <c r="Z7" i="8"/>
  <c r="Z8" i="8"/>
  <c r="Z9" i="8"/>
  <c r="Z10" i="8"/>
  <c r="Z11" i="8"/>
  <c r="Z12" i="8"/>
  <c r="Z13" i="8"/>
  <c r="Z14" i="8"/>
  <c r="Z15" i="8"/>
  <c r="Z16" i="8"/>
  <c r="Z17" i="8"/>
  <c r="W17" i="8"/>
  <c r="AA17" i="8"/>
  <c r="W16" i="8"/>
  <c r="AA16" i="8"/>
  <c r="W15" i="8"/>
  <c r="AA15" i="8"/>
  <c r="W14" i="8"/>
  <c r="AA14" i="8"/>
  <c r="W13" i="8"/>
  <c r="AA13" i="8"/>
  <c r="W12" i="8"/>
  <c r="AA12" i="8"/>
  <c r="W11" i="8"/>
  <c r="AA11" i="8"/>
  <c r="W10" i="8"/>
  <c r="AA10" i="8"/>
  <c r="W9" i="8"/>
  <c r="AA9" i="8"/>
  <c r="W8" i="8"/>
  <c r="AA8" i="8"/>
  <c r="W7" i="8"/>
  <c r="AA7" i="8"/>
  <c r="W6" i="8"/>
  <c r="AA6" i="8"/>
  <c r="W5" i="8"/>
  <c r="AA5" i="8"/>
  <c r="O6" i="8"/>
  <c r="R6" i="8"/>
  <c r="S6" i="8"/>
  <c r="O7" i="8"/>
  <c r="R7" i="8"/>
  <c r="S7" i="8"/>
  <c r="O8" i="8"/>
  <c r="R8" i="8"/>
  <c r="S8" i="8"/>
  <c r="O9" i="8"/>
  <c r="R9" i="8"/>
  <c r="S9" i="8"/>
  <c r="O10" i="8"/>
  <c r="R10" i="8"/>
  <c r="S10" i="8"/>
  <c r="O11" i="8"/>
  <c r="R11" i="8"/>
  <c r="S11" i="8"/>
  <c r="O12" i="8"/>
  <c r="R12" i="8"/>
  <c r="S12" i="8"/>
  <c r="O13" i="8"/>
  <c r="R13" i="8"/>
  <c r="S13" i="8"/>
  <c r="O14" i="8"/>
  <c r="R14" i="8"/>
  <c r="S14" i="8"/>
  <c r="O15" i="8"/>
  <c r="R15" i="8"/>
  <c r="S15" i="8"/>
  <c r="O16" i="8"/>
  <c r="R16" i="8"/>
  <c r="S16" i="8"/>
  <c r="O17" i="8"/>
  <c r="R17" i="8"/>
  <c r="S17" i="8"/>
  <c r="O5" i="8"/>
  <c r="S5" i="8"/>
  <c r="K6" i="8"/>
  <c r="K7" i="8"/>
  <c r="K8" i="8"/>
  <c r="K10" i="8"/>
  <c r="K11" i="8"/>
  <c r="K12" i="8"/>
  <c r="K13" i="8"/>
  <c r="K15" i="8"/>
  <c r="K16" i="8"/>
  <c r="K17" i="8"/>
  <c r="AD3" i="8"/>
  <c r="AD4" i="8"/>
  <c r="AD2" i="8"/>
  <c r="V3" i="8"/>
  <c r="V4" i="8"/>
  <c r="V2" i="8"/>
  <c r="N3" i="8"/>
  <c r="N4" i="8"/>
  <c r="N2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" i="8"/>
  <c r="B3" i="8"/>
  <c r="B4" i="8"/>
  <c r="B2" i="8"/>
  <c r="AE3" i="8"/>
  <c r="AE4" i="8"/>
  <c r="AE2" i="8"/>
  <c r="AC2" i="8"/>
  <c r="AC3" i="8"/>
  <c r="AC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" i="8"/>
  <c r="W3" i="8"/>
  <c r="W4" i="8"/>
  <c r="W2" i="8"/>
  <c r="U2" i="8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" i="8"/>
  <c r="O3" i="8"/>
  <c r="O4" i="8"/>
  <c r="O2" i="8"/>
  <c r="M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" i="8"/>
  <c r="MO4" i="1"/>
  <c r="MO5" i="1"/>
  <c r="MO6" i="1"/>
  <c r="MO7" i="1"/>
  <c r="MO8" i="1"/>
  <c r="MO9" i="1"/>
  <c r="MO10" i="1"/>
  <c r="MO11" i="1"/>
  <c r="MO12" i="1"/>
  <c r="MO13" i="1"/>
  <c r="MO14" i="1"/>
  <c r="MO15" i="1"/>
  <c r="MO16" i="1"/>
  <c r="A16" i="8"/>
  <c r="MO17" i="1"/>
  <c r="A17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2" i="8"/>
  <c r="A1" i="8"/>
  <c r="OW17" i="1"/>
  <c r="OU17" i="1"/>
  <c r="OT17" i="1"/>
  <c r="OR17" i="1"/>
  <c r="OP17" i="1"/>
  <c r="OM17" i="1"/>
  <c r="OM16" i="1"/>
  <c r="OM15" i="1"/>
  <c r="OM14" i="1"/>
  <c r="OM13" i="1"/>
  <c r="OM12" i="1"/>
  <c r="OM11" i="1"/>
  <c r="CY10" i="1"/>
  <c r="OM10" i="1"/>
  <c r="CY9" i="1"/>
  <c r="OM9" i="1"/>
  <c r="CY8" i="1"/>
  <c r="OM8" i="1"/>
  <c r="CX5" i="1"/>
  <c r="CX6" i="1"/>
  <c r="CX7" i="1"/>
  <c r="CY7" i="1"/>
  <c r="OM7" i="1"/>
  <c r="CY6" i="1"/>
  <c r="OM6" i="1"/>
  <c r="OM3" i="1"/>
  <c r="ON3" i="1"/>
  <c r="ON4" i="1"/>
  <c r="ON5" i="1"/>
  <c r="ON6" i="1"/>
  <c r="ON7" i="1"/>
  <c r="ON8" i="1"/>
  <c r="ON9" i="1"/>
  <c r="ON10" i="1"/>
  <c r="ON11" i="1"/>
  <c r="ON12" i="1"/>
  <c r="ON13" i="1"/>
  <c r="ON14" i="1"/>
  <c r="ON15" i="1"/>
  <c r="ON16" i="1"/>
  <c r="ON17" i="1"/>
  <c r="OW16" i="1"/>
  <c r="OU16" i="1"/>
  <c r="OT16" i="1"/>
  <c r="OR16" i="1"/>
  <c r="OP16" i="1"/>
  <c r="OW15" i="1"/>
  <c r="OU15" i="1"/>
  <c r="OT15" i="1"/>
  <c r="OR15" i="1"/>
  <c r="OP15" i="1"/>
  <c r="OW14" i="1"/>
  <c r="OU14" i="1"/>
  <c r="OT14" i="1"/>
  <c r="OR14" i="1"/>
  <c r="OP14" i="1"/>
  <c r="OW13" i="1"/>
  <c r="OU13" i="1"/>
  <c r="OT13" i="1"/>
  <c r="OR13" i="1"/>
  <c r="OP13" i="1"/>
  <c r="OW12" i="1"/>
  <c r="OU12" i="1"/>
  <c r="OT12" i="1"/>
  <c r="OR12" i="1"/>
  <c r="OP12" i="1"/>
  <c r="OW11" i="1"/>
  <c r="OU11" i="1"/>
  <c r="OT11" i="1"/>
  <c r="OR11" i="1"/>
  <c r="OP11" i="1"/>
  <c r="OW10" i="1"/>
  <c r="OU10" i="1"/>
  <c r="OT10" i="1"/>
  <c r="OR10" i="1"/>
  <c r="OP10" i="1"/>
  <c r="OW9" i="1"/>
  <c r="OU9" i="1"/>
  <c r="OT9" i="1"/>
  <c r="OR9" i="1"/>
  <c r="OP9" i="1"/>
  <c r="OW8" i="1"/>
  <c r="OU8" i="1"/>
  <c r="CV5" i="1"/>
  <c r="DG5" i="1"/>
  <c r="CV6" i="1"/>
  <c r="DG6" i="1"/>
  <c r="CV7" i="1"/>
  <c r="DG7" i="1"/>
  <c r="CV8" i="1"/>
  <c r="DG8" i="1"/>
  <c r="OT8" i="1"/>
  <c r="OR8" i="1"/>
  <c r="OP8" i="1"/>
  <c r="OW7" i="1"/>
  <c r="OU7" i="1"/>
  <c r="OT7" i="1"/>
  <c r="OR7" i="1"/>
  <c r="OP7" i="1"/>
  <c r="OW6" i="1"/>
  <c r="OU6" i="1"/>
  <c r="OT6" i="1"/>
  <c r="OR6" i="1"/>
  <c r="OP6" i="1"/>
  <c r="OW5" i="1"/>
  <c r="OU5" i="1"/>
  <c r="OT4" i="1"/>
  <c r="OT5" i="1"/>
  <c r="OR5" i="1"/>
  <c r="OP5" i="1"/>
  <c r="OM5" i="1"/>
  <c r="OW4" i="1"/>
  <c r="OU4" i="1"/>
  <c r="OR4" i="1"/>
  <c r="OP4" i="1"/>
  <c r="OM4" i="1"/>
  <c r="OW3" i="1"/>
  <c r="OU3" i="1"/>
  <c r="OT3" i="1"/>
  <c r="OR3" i="1"/>
  <c r="OP3" i="1"/>
  <c r="OH17" i="1"/>
  <c r="OF17" i="1"/>
  <c r="OE17" i="1"/>
  <c r="OC17" i="1"/>
  <c r="OA17" i="1"/>
  <c r="NX17" i="1"/>
  <c r="NX16" i="1"/>
  <c r="NX15" i="1"/>
  <c r="NX14" i="1"/>
  <c r="NX13" i="1"/>
  <c r="NX12" i="1"/>
  <c r="NX11" i="1"/>
  <c r="NX10" i="1"/>
  <c r="NX9" i="1"/>
  <c r="NX8" i="1"/>
  <c r="NX7" i="1"/>
  <c r="NX6" i="1"/>
  <c r="NU4" i="1"/>
  <c r="NU5" i="1"/>
  <c r="NX5" i="1"/>
  <c r="NX3" i="1"/>
  <c r="NY3" i="1"/>
  <c r="NY4" i="1"/>
  <c r="NY5" i="1"/>
  <c r="NY6" i="1"/>
  <c r="NY7" i="1"/>
  <c r="NY8" i="1"/>
  <c r="NY9" i="1"/>
  <c r="NY10" i="1"/>
  <c r="NY11" i="1"/>
  <c r="NY12" i="1"/>
  <c r="NY13" i="1"/>
  <c r="NY14" i="1"/>
  <c r="NY15" i="1"/>
  <c r="NY16" i="1"/>
  <c r="NY17" i="1"/>
  <c r="NU6" i="1"/>
  <c r="NU7" i="1"/>
  <c r="NU8" i="1"/>
  <c r="NU9" i="1"/>
  <c r="NU10" i="1"/>
  <c r="NU11" i="1"/>
  <c r="NU12" i="1"/>
  <c r="NU13" i="1"/>
  <c r="NU14" i="1"/>
  <c r="NU15" i="1"/>
  <c r="NU16" i="1"/>
  <c r="NU17" i="1"/>
  <c r="OH16" i="1"/>
  <c r="OF16" i="1"/>
  <c r="OE16" i="1"/>
  <c r="OC16" i="1"/>
  <c r="OA16" i="1"/>
  <c r="OH15" i="1"/>
  <c r="OF15" i="1"/>
  <c r="OE15" i="1"/>
  <c r="OC15" i="1"/>
  <c r="OA15" i="1"/>
  <c r="OH14" i="1"/>
  <c r="OF14" i="1"/>
  <c r="OE14" i="1"/>
  <c r="OC14" i="1"/>
  <c r="OA14" i="1"/>
  <c r="OH13" i="1"/>
  <c r="OF13" i="1"/>
  <c r="OE13" i="1"/>
  <c r="OC13" i="1"/>
  <c r="OA13" i="1"/>
  <c r="OH12" i="1"/>
  <c r="OF12" i="1"/>
  <c r="OE12" i="1"/>
  <c r="OC12" i="1"/>
  <c r="OA12" i="1"/>
  <c r="OH11" i="1"/>
  <c r="OF11" i="1"/>
  <c r="OE11" i="1"/>
  <c r="OC11" i="1"/>
  <c r="OA11" i="1"/>
  <c r="OH10" i="1"/>
  <c r="OF10" i="1"/>
  <c r="OE10" i="1"/>
  <c r="OC10" i="1"/>
  <c r="OA10" i="1"/>
  <c r="OH9" i="1"/>
  <c r="OF9" i="1"/>
  <c r="OE9" i="1"/>
  <c r="OC9" i="1"/>
  <c r="OA9" i="1"/>
  <c r="OH8" i="1"/>
  <c r="OF8" i="1"/>
  <c r="OE8" i="1"/>
  <c r="OC8" i="1"/>
  <c r="OA8" i="1"/>
  <c r="OH7" i="1"/>
  <c r="OF7" i="1"/>
  <c r="OE7" i="1"/>
  <c r="OC7" i="1"/>
  <c r="OA7" i="1"/>
  <c r="OH6" i="1"/>
  <c r="OF6" i="1"/>
  <c r="OE6" i="1"/>
  <c r="OC6" i="1"/>
  <c r="OA6" i="1"/>
  <c r="OH5" i="1"/>
  <c r="OF5" i="1"/>
  <c r="OE4" i="1"/>
  <c r="OE5" i="1"/>
  <c r="OC5" i="1"/>
  <c r="OA5" i="1"/>
  <c r="OH4" i="1"/>
  <c r="OF4" i="1"/>
  <c r="OC4" i="1"/>
  <c r="OA4" i="1"/>
  <c r="NX4" i="1"/>
  <c r="OH3" i="1"/>
  <c r="OF3" i="1"/>
  <c r="OE3" i="1"/>
  <c r="OC3" i="1"/>
  <c r="OA3" i="1"/>
  <c r="NO17" i="1"/>
  <c r="NM17" i="1"/>
  <c r="NL17" i="1"/>
  <c r="NJ17" i="1"/>
  <c r="NO16" i="1"/>
  <c r="NM16" i="1"/>
  <c r="NL16" i="1"/>
  <c r="NJ16" i="1"/>
  <c r="NO15" i="1"/>
  <c r="NM15" i="1"/>
  <c r="NL15" i="1"/>
  <c r="NJ15" i="1"/>
  <c r="NO14" i="1"/>
  <c r="NM14" i="1"/>
  <c r="NL14" i="1"/>
  <c r="NJ14" i="1"/>
  <c r="NO13" i="1"/>
  <c r="NM13" i="1"/>
  <c r="NL13" i="1"/>
  <c r="NJ13" i="1"/>
  <c r="NO12" i="1"/>
  <c r="NM12" i="1"/>
  <c r="NL12" i="1"/>
  <c r="NJ12" i="1"/>
  <c r="NO11" i="1"/>
  <c r="NM11" i="1"/>
  <c r="NL11" i="1"/>
  <c r="NJ11" i="1"/>
  <c r="NO10" i="1"/>
  <c r="NM10" i="1"/>
  <c r="NL10" i="1"/>
  <c r="NJ10" i="1"/>
  <c r="NO9" i="1"/>
  <c r="NM9" i="1"/>
  <c r="NL9" i="1"/>
  <c r="NJ9" i="1"/>
  <c r="NO8" i="1"/>
  <c r="NM8" i="1"/>
  <c r="NL8" i="1"/>
  <c r="NJ8" i="1"/>
  <c r="NO7" i="1"/>
  <c r="NM7" i="1"/>
  <c r="NL7" i="1"/>
  <c r="NJ7" i="1"/>
  <c r="NO6" i="1"/>
  <c r="NM6" i="1"/>
  <c r="NL6" i="1"/>
  <c r="NJ6" i="1"/>
  <c r="NO5" i="1"/>
  <c r="NM5" i="1"/>
  <c r="NL5" i="1"/>
  <c r="NJ5" i="1"/>
  <c r="NO4" i="1"/>
  <c r="NM4" i="1"/>
  <c r="NL4" i="1"/>
  <c r="NJ4" i="1"/>
  <c r="NO3" i="1"/>
  <c r="NM3" i="1"/>
  <c r="NL3" i="1"/>
  <c r="NJ3" i="1"/>
  <c r="NG17" i="1"/>
  <c r="NG16" i="1"/>
  <c r="NG15" i="1"/>
  <c r="NG14" i="1"/>
  <c r="NG13" i="1"/>
  <c r="NG12" i="1"/>
  <c r="NG11" i="1"/>
  <c r="NG10" i="1"/>
  <c r="NG9" i="1"/>
  <c r="NG8" i="1"/>
  <c r="NG7" i="1"/>
  <c r="NG6" i="1"/>
  <c r="CY5" i="1"/>
  <c r="NG5" i="1"/>
  <c r="NG3" i="1"/>
  <c r="NH3" i="1"/>
  <c r="NG4" i="1"/>
  <c r="NH4" i="1"/>
  <c r="NH5" i="1"/>
  <c r="NH6" i="1"/>
  <c r="NH7" i="1"/>
  <c r="NH8" i="1"/>
  <c r="NH9" i="1"/>
  <c r="NH10" i="1"/>
  <c r="NH11" i="1"/>
  <c r="NH12" i="1"/>
  <c r="NH13" i="1"/>
  <c r="NH14" i="1"/>
  <c r="NH15" i="1"/>
  <c r="NH16" i="1"/>
  <c r="NH17" i="1"/>
  <c r="LF3" i="1"/>
  <c r="LU3" i="1"/>
  <c r="MJ3" i="1"/>
  <c r="MY3" i="1"/>
  <c r="NB17" i="1"/>
  <c r="MZ17" i="1"/>
  <c r="MY17" i="1"/>
  <c r="MW17" i="1"/>
  <c r="MU17" i="1"/>
  <c r="MR17" i="1"/>
  <c r="MR16" i="1"/>
  <c r="MR15" i="1"/>
  <c r="MR14" i="1"/>
  <c r="MR13" i="1"/>
  <c r="MR12" i="1"/>
  <c r="MR11" i="1"/>
  <c r="MR3" i="1"/>
  <c r="MS3" i="1"/>
  <c r="MR4" i="1"/>
  <c r="MS4" i="1"/>
  <c r="MR5" i="1"/>
  <c r="MS5" i="1"/>
  <c r="MR6" i="1"/>
  <c r="MS6" i="1"/>
  <c r="MR7" i="1"/>
  <c r="MS7" i="1"/>
  <c r="MR8" i="1"/>
  <c r="MS8" i="1"/>
  <c r="MR9" i="1"/>
  <c r="MS9" i="1"/>
  <c r="MR10" i="1"/>
  <c r="MS10" i="1"/>
  <c r="MS11" i="1"/>
  <c r="MS12" i="1"/>
  <c r="MS13" i="1"/>
  <c r="MS14" i="1"/>
  <c r="MS15" i="1"/>
  <c r="MS16" i="1"/>
  <c r="MS17" i="1"/>
  <c r="NB16" i="1"/>
  <c r="MZ16" i="1"/>
  <c r="MY16" i="1"/>
  <c r="MW16" i="1"/>
  <c r="MU16" i="1"/>
  <c r="NB15" i="1"/>
  <c r="MZ15" i="1"/>
  <c r="MY15" i="1"/>
  <c r="MW15" i="1"/>
  <c r="MU15" i="1"/>
  <c r="NB14" i="1"/>
  <c r="MZ14" i="1"/>
  <c r="MY14" i="1"/>
  <c r="MW14" i="1"/>
  <c r="MU14" i="1"/>
  <c r="NB13" i="1"/>
  <c r="MZ13" i="1"/>
  <c r="MY13" i="1"/>
  <c r="MW13" i="1"/>
  <c r="MU13" i="1"/>
  <c r="NB12" i="1"/>
  <c r="MZ12" i="1"/>
  <c r="MY12" i="1"/>
  <c r="MW12" i="1"/>
  <c r="MU12" i="1"/>
  <c r="NB11" i="1"/>
  <c r="MZ11" i="1"/>
  <c r="MY11" i="1"/>
  <c r="MW11" i="1"/>
  <c r="MU11" i="1"/>
  <c r="NB10" i="1"/>
  <c r="MZ10" i="1"/>
  <c r="MY4" i="1"/>
  <c r="MY5" i="1"/>
  <c r="MY6" i="1"/>
  <c r="MY7" i="1"/>
  <c r="MY8" i="1"/>
  <c r="MY9" i="1"/>
  <c r="MY10" i="1"/>
  <c r="MW10" i="1"/>
  <c r="MU10" i="1"/>
  <c r="NB9" i="1"/>
  <c r="MZ9" i="1"/>
  <c r="MW9" i="1"/>
  <c r="MU9" i="1"/>
  <c r="NB8" i="1"/>
  <c r="MZ8" i="1"/>
  <c r="MW8" i="1"/>
  <c r="MU8" i="1"/>
  <c r="NB7" i="1"/>
  <c r="MZ7" i="1"/>
  <c r="MW7" i="1"/>
  <c r="MU7" i="1"/>
  <c r="NB6" i="1"/>
  <c r="MZ6" i="1"/>
  <c r="MW6" i="1"/>
  <c r="MU6" i="1"/>
  <c r="NB5" i="1"/>
  <c r="MZ5" i="1"/>
  <c r="MW5" i="1"/>
  <c r="MU5" i="1"/>
  <c r="NB4" i="1"/>
  <c r="MZ4" i="1"/>
  <c r="MW4" i="1"/>
  <c r="MU4" i="1"/>
  <c r="NB3" i="1"/>
  <c r="MZ3" i="1"/>
  <c r="MW3" i="1"/>
  <c r="MU3" i="1"/>
  <c r="MM17" i="1"/>
  <c r="MK17" i="1"/>
  <c r="MJ17" i="1"/>
  <c r="MH17" i="1"/>
  <c r="MF17" i="1"/>
  <c r="MC17" i="1"/>
  <c r="MC16" i="1"/>
  <c r="MC3" i="1"/>
  <c r="MD3" i="1"/>
  <c r="MD4" i="1"/>
  <c r="MD5" i="1"/>
  <c r="MD6" i="1"/>
  <c r="MD7" i="1"/>
  <c r="MD8" i="1"/>
  <c r="MD9" i="1"/>
  <c r="MD10" i="1"/>
  <c r="MC11" i="1"/>
  <c r="MD11" i="1"/>
  <c r="MC12" i="1"/>
  <c r="MD12" i="1"/>
  <c r="MC13" i="1"/>
  <c r="MD13" i="1"/>
  <c r="MC14" i="1"/>
  <c r="MD14" i="1"/>
  <c r="MC15" i="1"/>
  <c r="MD15" i="1"/>
  <c r="MD16" i="1"/>
  <c r="MD17" i="1"/>
  <c r="LZ4" i="1"/>
  <c r="LZ5" i="1"/>
  <c r="LZ6" i="1"/>
  <c r="LZ7" i="1"/>
  <c r="LZ8" i="1"/>
  <c r="LZ9" i="1"/>
  <c r="LZ10" i="1"/>
  <c r="LZ11" i="1"/>
  <c r="LZ12" i="1"/>
  <c r="LZ13" i="1"/>
  <c r="LZ14" i="1"/>
  <c r="LZ15" i="1"/>
  <c r="LZ16" i="1"/>
  <c r="LZ17" i="1"/>
  <c r="MM16" i="1"/>
  <c r="MK16" i="1"/>
  <c r="MJ16" i="1"/>
  <c r="MH16" i="1"/>
  <c r="MF16" i="1"/>
  <c r="MM15" i="1"/>
  <c r="MK15" i="1"/>
  <c r="MJ4" i="1"/>
  <c r="MJ5" i="1"/>
  <c r="MJ6" i="1"/>
  <c r="MJ7" i="1"/>
  <c r="MJ8" i="1"/>
  <c r="MJ9" i="1"/>
  <c r="MJ10" i="1"/>
  <c r="MJ11" i="1"/>
  <c r="MJ12" i="1"/>
  <c r="MJ13" i="1"/>
  <c r="MJ14" i="1"/>
  <c r="MJ15" i="1"/>
  <c r="MH15" i="1"/>
  <c r="MF15" i="1"/>
  <c r="MM14" i="1"/>
  <c r="MK14" i="1"/>
  <c r="MH14" i="1"/>
  <c r="MF14" i="1"/>
  <c r="MM13" i="1"/>
  <c r="MK13" i="1"/>
  <c r="MH13" i="1"/>
  <c r="MF13" i="1"/>
  <c r="MM12" i="1"/>
  <c r="MK12" i="1"/>
  <c r="MH12" i="1"/>
  <c r="MF12" i="1"/>
  <c r="MM11" i="1"/>
  <c r="MK11" i="1"/>
  <c r="MH11" i="1"/>
  <c r="MF11" i="1"/>
  <c r="MM10" i="1"/>
  <c r="MK10" i="1"/>
  <c r="MH10" i="1"/>
  <c r="MF10" i="1"/>
  <c r="MC10" i="1"/>
  <c r="MM9" i="1"/>
  <c r="MK9" i="1"/>
  <c r="MH9" i="1"/>
  <c r="MF9" i="1"/>
  <c r="MC9" i="1"/>
  <c r="MM8" i="1"/>
  <c r="MK8" i="1"/>
  <c r="MH8" i="1"/>
  <c r="MF8" i="1"/>
  <c r="MC8" i="1"/>
  <c r="MM7" i="1"/>
  <c r="MK7" i="1"/>
  <c r="MH7" i="1"/>
  <c r="MF7" i="1"/>
  <c r="MC7" i="1"/>
  <c r="MM6" i="1"/>
  <c r="MK6" i="1"/>
  <c r="MH6" i="1"/>
  <c r="MF6" i="1"/>
  <c r="MC6" i="1"/>
  <c r="MM5" i="1"/>
  <c r="MK5" i="1"/>
  <c r="MH5" i="1"/>
  <c r="MF5" i="1"/>
  <c r="MC5" i="1"/>
  <c r="MM4" i="1"/>
  <c r="MK4" i="1"/>
  <c r="MH4" i="1"/>
  <c r="MF4" i="1"/>
  <c r="MC4" i="1"/>
  <c r="MM3" i="1"/>
  <c r="MK3" i="1"/>
  <c r="MH3" i="1"/>
  <c r="MF3" i="1"/>
  <c r="LX17" i="1"/>
  <c r="LV17" i="1"/>
  <c r="LU17" i="1"/>
  <c r="LS17" i="1"/>
  <c r="LQ17" i="1"/>
  <c r="LN17" i="1"/>
  <c r="LN16" i="1"/>
  <c r="LK4" i="1"/>
  <c r="LK5" i="1"/>
  <c r="LK6" i="1"/>
  <c r="LK7" i="1"/>
  <c r="LK8" i="1"/>
  <c r="LK9" i="1"/>
  <c r="LK10" i="1"/>
  <c r="LK11" i="1"/>
  <c r="LK12" i="1"/>
  <c r="LK13" i="1"/>
  <c r="LK14" i="1"/>
  <c r="LK15" i="1"/>
  <c r="LN15" i="1"/>
  <c r="LN14" i="1"/>
  <c r="LN13" i="1"/>
  <c r="LN12" i="1"/>
  <c r="LN11" i="1"/>
  <c r="LN10" i="1"/>
  <c r="LN3" i="1"/>
  <c r="LO3" i="1"/>
  <c r="LO4" i="1"/>
  <c r="LO5" i="1"/>
  <c r="LO6" i="1"/>
  <c r="LO7" i="1"/>
  <c r="LO8" i="1"/>
  <c r="LO9" i="1"/>
  <c r="LO10" i="1"/>
  <c r="LO11" i="1"/>
  <c r="LO12" i="1"/>
  <c r="LO13" i="1"/>
  <c r="LO14" i="1"/>
  <c r="LO15" i="1"/>
  <c r="LO16" i="1"/>
  <c r="LO17" i="1"/>
  <c r="LK16" i="1"/>
  <c r="LK17" i="1"/>
  <c r="LX16" i="1"/>
  <c r="LV16" i="1"/>
  <c r="LU16" i="1"/>
  <c r="LS16" i="1"/>
  <c r="LQ16" i="1"/>
  <c r="LX15" i="1"/>
  <c r="LV15" i="1"/>
  <c r="LU4" i="1"/>
  <c r="LU5" i="1"/>
  <c r="LU6" i="1"/>
  <c r="LU7" i="1"/>
  <c r="LU8" i="1"/>
  <c r="LU9" i="1"/>
  <c r="LU10" i="1"/>
  <c r="LU11" i="1"/>
  <c r="LU12" i="1"/>
  <c r="LU13" i="1"/>
  <c r="LU14" i="1"/>
  <c r="LU15" i="1"/>
  <c r="LS15" i="1"/>
  <c r="LQ15" i="1"/>
  <c r="LX14" i="1"/>
  <c r="LV14" i="1"/>
  <c r="LS14" i="1"/>
  <c r="LQ14" i="1"/>
  <c r="LX13" i="1"/>
  <c r="LV13" i="1"/>
  <c r="LS13" i="1"/>
  <c r="LQ13" i="1"/>
  <c r="LX12" i="1"/>
  <c r="LV12" i="1"/>
  <c r="LS12" i="1"/>
  <c r="LQ12" i="1"/>
  <c r="LX11" i="1"/>
  <c r="LV11" i="1"/>
  <c r="LS11" i="1"/>
  <c r="LQ11" i="1"/>
  <c r="LX10" i="1"/>
  <c r="LV10" i="1"/>
  <c r="LS10" i="1"/>
  <c r="LQ10" i="1"/>
  <c r="LX9" i="1"/>
  <c r="LV9" i="1"/>
  <c r="LS9" i="1"/>
  <c r="LQ9" i="1"/>
  <c r="LN9" i="1"/>
  <c r="LX8" i="1"/>
  <c r="LV8" i="1"/>
  <c r="LS8" i="1"/>
  <c r="LQ8" i="1"/>
  <c r="LN8" i="1"/>
  <c r="LX7" i="1"/>
  <c r="LV7" i="1"/>
  <c r="LS7" i="1"/>
  <c r="LQ7" i="1"/>
  <c r="LN7" i="1"/>
  <c r="LX6" i="1"/>
  <c r="LV6" i="1"/>
  <c r="LS6" i="1"/>
  <c r="LQ6" i="1"/>
  <c r="LN6" i="1"/>
  <c r="LX5" i="1"/>
  <c r="LV5" i="1"/>
  <c r="LS5" i="1"/>
  <c r="LQ5" i="1"/>
  <c r="LN5" i="1"/>
  <c r="LX4" i="1"/>
  <c r="LV4" i="1"/>
  <c r="LS4" i="1"/>
  <c r="LQ4" i="1"/>
  <c r="LN4" i="1"/>
  <c r="LX3" i="1"/>
  <c r="LV3" i="1"/>
  <c r="LS3" i="1"/>
  <c r="LQ3" i="1"/>
  <c r="KV4" i="1"/>
  <c r="KY4" i="1"/>
  <c r="KV5" i="1"/>
  <c r="KY5" i="1"/>
  <c r="KV6" i="1"/>
  <c r="KY6" i="1"/>
  <c r="KV7" i="1"/>
  <c r="KY7" i="1"/>
  <c r="KV8" i="1"/>
  <c r="KY8" i="1"/>
  <c r="KV9" i="1"/>
  <c r="KY9" i="1"/>
  <c r="KY10" i="1"/>
  <c r="KY11" i="1"/>
  <c r="KY12" i="1"/>
  <c r="KY13" i="1"/>
  <c r="KY14" i="1"/>
  <c r="KY15" i="1"/>
  <c r="KY16" i="1"/>
  <c r="KY17" i="1"/>
  <c r="LB4" i="1"/>
  <c r="LB5" i="1"/>
  <c r="LB6" i="1"/>
  <c r="LB7" i="1"/>
  <c r="LB8" i="1"/>
  <c r="LB9" i="1"/>
  <c r="LB10" i="1"/>
  <c r="LB11" i="1"/>
  <c r="LB12" i="1"/>
  <c r="LB13" i="1"/>
  <c r="LB14" i="1"/>
  <c r="LB15" i="1"/>
  <c r="LB16" i="1"/>
  <c r="LB17" i="1"/>
  <c r="LD4" i="1"/>
  <c r="LD5" i="1"/>
  <c r="LD6" i="1"/>
  <c r="LD7" i="1"/>
  <c r="LD8" i="1"/>
  <c r="LD9" i="1"/>
  <c r="LD10" i="1"/>
  <c r="LD11" i="1"/>
  <c r="LD12" i="1"/>
  <c r="LD13" i="1"/>
  <c r="LD14" i="1"/>
  <c r="LD15" i="1"/>
  <c r="LD16" i="1"/>
  <c r="LD17" i="1"/>
  <c r="LI4" i="1"/>
  <c r="LI5" i="1"/>
  <c r="LI6" i="1"/>
  <c r="LI7" i="1"/>
  <c r="LI8" i="1"/>
  <c r="LI9" i="1"/>
  <c r="LI10" i="1"/>
  <c r="LI11" i="1"/>
  <c r="LI12" i="1"/>
  <c r="LI13" i="1"/>
  <c r="LI14" i="1"/>
  <c r="LI15" i="1"/>
  <c r="LI16" i="1"/>
  <c r="LI17" i="1"/>
  <c r="LI3" i="1"/>
  <c r="LF4" i="1"/>
  <c r="LD3" i="1"/>
  <c r="LB3" i="1"/>
  <c r="KY3" i="1"/>
  <c r="LG17" i="1"/>
  <c r="LF17" i="1"/>
  <c r="KZ3" i="1"/>
  <c r="KZ4" i="1"/>
  <c r="KZ5" i="1"/>
  <c r="KZ6" i="1"/>
  <c r="KZ7" i="1"/>
  <c r="KZ8" i="1"/>
  <c r="KZ9" i="1"/>
  <c r="KZ10" i="1"/>
  <c r="KZ11" i="1"/>
  <c r="KZ12" i="1"/>
  <c r="KZ13" i="1"/>
  <c r="KZ14" i="1"/>
  <c r="KZ15" i="1"/>
  <c r="KZ16" i="1"/>
  <c r="KZ17" i="1"/>
  <c r="KV10" i="1"/>
  <c r="KV11" i="1"/>
  <c r="KV12" i="1"/>
  <c r="KV13" i="1"/>
  <c r="KV14" i="1"/>
  <c r="KV15" i="1"/>
  <c r="KV16" i="1"/>
  <c r="KV17" i="1"/>
  <c r="LG16" i="1"/>
  <c r="LF16" i="1"/>
  <c r="LG15" i="1"/>
  <c r="LF15" i="1"/>
  <c r="LG14" i="1"/>
  <c r="LF14" i="1"/>
  <c r="LG13" i="1"/>
  <c r="LF13" i="1"/>
  <c r="LG12" i="1"/>
  <c r="LF12" i="1"/>
  <c r="LG11" i="1"/>
  <c r="LF11" i="1"/>
  <c r="LG10" i="1"/>
  <c r="LF10" i="1"/>
  <c r="LG9" i="1"/>
  <c r="LF5" i="1"/>
  <c r="LF6" i="1"/>
  <c r="LF7" i="1"/>
  <c r="LF8" i="1"/>
  <c r="LF9" i="1"/>
  <c r="LG8" i="1"/>
  <c r="LG7" i="1"/>
  <c r="LG6" i="1"/>
  <c r="LG5" i="1"/>
  <c r="LG4" i="1"/>
  <c r="LG3" i="1"/>
  <c r="KT17" i="1"/>
  <c r="KR17" i="1"/>
  <c r="KQ17" i="1"/>
  <c r="KO17" i="1"/>
  <c r="KM17" i="1"/>
  <c r="KJ17" i="1"/>
  <c r="KJ16" i="1"/>
  <c r="KJ15" i="1"/>
  <c r="KJ14" i="1"/>
  <c r="KJ13" i="1"/>
  <c r="KJ12" i="1"/>
  <c r="KJ11" i="1"/>
  <c r="KJ10" i="1"/>
  <c r="KJ9" i="1"/>
  <c r="KJ8" i="1"/>
  <c r="KJ7" i="1"/>
  <c r="KJ6" i="1"/>
  <c r="KJ5" i="1"/>
  <c r="KJ4" i="1"/>
  <c r="CY3" i="1"/>
  <c r="KJ3" i="1"/>
  <c r="KK3" i="1"/>
  <c r="KK4" i="1"/>
  <c r="KK5" i="1"/>
  <c r="KK6" i="1"/>
  <c r="KK7" i="1"/>
  <c r="KK8" i="1"/>
  <c r="KK9" i="1"/>
  <c r="KK10" i="1"/>
  <c r="KK11" i="1"/>
  <c r="KK12" i="1"/>
  <c r="KK13" i="1"/>
  <c r="KK14" i="1"/>
  <c r="KK15" i="1"/>
  <c r="KK16" i="1"/>
  <c r="KK17" i="1"/>
  <c r="KG4" i="1"/>
  <c r="KG5" i="1"/>
  <c r="KG6" i="1"/>
  <c r="KG7" i="1"/>
  <c r="KG8" i="1"/>
  <c r="KG9" i="1"/>
  <c r="KG10" i="1"/>
  <c r="KT16" i="1"/>
  <c r="KR16" i="1"/>
  <c r="KQ16" i="1"/>
  <c r="KO16" i="1"/>
  <c r="KM16" i="1"/>
  <c r="KT15" i="1"/>
  <c r="KR15" i="1"/>
  <c r="KQ15" i="1"/>
  <c r="KO15" i="1"/>
  <c r="KM15" i="1"/>
  <c r="KT14" i="1"/>
  <c r="KR14" i="1"/>
  <c r="KQ14" i="1"/>
  <c r="KO14" i="1"/>
  <c r="KM14" i="1"/>
  <c r="KT13" i="1"/>
  <c r="KR13" i="1"/>
  <c r="KQ13" i="1"/>
  <c r="KO13" i="1"/>
  <c r="KM13" i="1"/>
  <c r="KT12" i="1"/>
  <c r="KR12" i="1"/>
  <c r="KQ12" i="1"/>
  <c r="KO12" i="1"/>
  <c r="KM12" i="1"/>
  <c r="KT11" i="1"/>
  <c r="KR11" i="1"/>
  <c r="KQ11" i="1"/>
  <c r="KO11" i="1"/>
  <c r="KM11" i="1"/>
  <c r="KT10" i="1"/>
  <c r="KR10" i="1"/>
  <c r="KQ10" i="1"/>
  <c r="KO10" i="1"/>
  <c r="KM10" i="1"/>
  <c r="KT9" i="1"/>
  <c r="KR9" i="1"/>
  <c r="KQ9" i="1"/>
  <c r="KO9" i="1"/>
  <c r="KM9" i="1"/>
  <c r="KT8" i="1"/>
  <c r="KR8" i="1"/>
  <c r="KQ8" i="1"/>
  <c r="KO8" i="1"/>
  <c r="KM8" i="1"/>
  <c r="KT7" i="1"/>
  <c r="KR7" i="1"/>
  <c r="KQ7" i="1"/>
  <c r="KO7" i="1"/>
  <c r="KM7" i="1"/>
  <c r="KT6" i="1"/>
  <c r="KR6" i="1"/>
  <c r="KQ6" i="1"/>
  <c r="KO6" i="1"/>
  <c r="KM6" i="1"/>
  <c r="KT5" i="1"/>
  <c r="KR5" i="1"/>
  <c r="KQ5" i="1"/>
  <c r="KO5" i="1"/>
  <c r="KM5" i="1"/>
  <c r="KT4" i="1"/>
  <c r="KR4" i="1"/>
  <c r="KQ4" i="1"/>
  <c r="KO4" i="1"/>
  <c r="KM4" i="1"/>
  <c r="KT3" i="1"/>
  <c r="KR3" i="1"/>
  <c r="KQ3" i="1"/>
  <c r="KO3" i="1"/>
  <c r="KM3" i="1"/>
  <c r="JP17" i="1"/>
  <c r="JN17" i="1"/>
  <c r="JM17" i="1"/>
  <c r="JK17" i="1"/>
  <c r="JI17" i="1"/>
  <c r="JF17" i="1"/>
  <c r="JF16" i="1"/>
  <c r="JF15" i="1"/>
  <c r="JF14" i="1"/>
  <c r="JF13" i="1"/>
  <c r="JF12" i="1"/>
  <c r="JF11" i="1"/>
  <c r="JF10" i="1"/>
  <c r="JF9" i="1"/>
  <c r="JF8" i="1"/>
  <c r="JC4" i="1"/>
  <c r="JC5" i="1"/>
  <c r="JC6" i="1"/>
  <c r="JC7" i="1"/>
  <c r="JF3" i="1"/>
  <c r="JF4" i="1"/>
  <c r="JF5" i="1"/>
  <c r="JF6" i="1"/>
  <c r="JF7" i="1"/>
  <c r="JG3" i="1"/>
  <c r="JG4" i="1"/>
  <c r="JG5" i="1"/>
  <c r="JG6" i="1"/>
  <c r="JG7" i="1"/>
  <c r="JG8" i="1"/>
  <c r="JG9" i="1"/>
  <c r="JG10" i="1"/>
  <c r="JG11" i="1"/>
  <c r="JG12" i="1"/>
  <c r="JG13" i="1"/>
  <c r="JG14" i="1"/>
  <c r="JG15" i="1"/>
  <c r="JG16" i="1"/>
  <c r="JG17" i="1"/>
  <c r="JC8" i="1"/>
  <c r="JC9" i="1"/>
  <c r="JC10" i="1"/>
  <c r="JC11" i="1"/>
  <c r="JC12" i="1"/>
  <c r="JC13" i="1"/>
  <c r="JC14" i="1"/>
  <c r="JC15" i="1"/>
  <c r="JC16" i="1"/>
  <c r="JC17" i="1"/>
  <c r="JP16" i="1"/>
  <c r="JN16" i="1"/>
  <c r="JM16" i="1"/>
  <c r="JK16" i="1"/>
  <c r="JI16" i="1"/>
  <c r="JP15" i="1"/>
  <c r="JN15" i="1"/>
  <c r="JM15" i="1"/>
  <c r="JK15" i="1"/>
  <c r="JI15" i="1"/>
  <c r="JP14" i="1"/>
  <c r="JN14" i="1"/>
  <c r="JM14" i="1"/>
  <c r="JK14" i="1"/>
  <c r="JI14" i="1"/>
  <c r="JP13" i="1"/>
  <c r="JN13" i="1"/>
  <c r="JM13" i="1"/>
  <c r="JK13" i="1"/>
  <c r="JI13" i="1"/>
  <c r="JP12" i="1"/>
  <c r="JN12" i="1"/>
  <c r="JM12" i="1"/>
  <c r="JK12" i="1"/>
  <c r="JI12" i="1"/>
  <c r="JP11" i="1"/>
  <c r="JN11" i="1"/>
  <c r="JM11" i="1"/>
  <c r="JK11" i="1"/>
  <c r="JI11" i="1"/>
  <c r="JP10" i="1"/>
  <c r="JN10" i="1"/>
  <c r="JM10" i="1"/>
  <c r="JK10" i="1"/>
  <c r="JI10" i="1"/>
  <c r="JP9" i="1"/>
  <c r="JN9" i="1"/>
  <c r="JM9" i="1"/>
  <c r="JK9" i="1"/>
  <c r="JI9" i="1"/>
  <c r="JP8" i="1"/>
  <c r="JN8" i="1"/>
  <c r="JM8" i="1"/>
  <c r="JK8" i="1"/>
  <c r="JI8" i="1"/>
  <c r="JP3" i="1"/>
  <c r="JP4" i="1"/>
  <c r="JP5" i="1"/>
  <c r="JP6" i="1"/>
  <c r="JP7" i="1"/>
  <c r="JN7" i="1"/>
  <c r="JM3" i="1"/>
  <c r="JM4" i="1"/>
  <c r="JM5" i="1"/>
  <c r="JM6" i="1"/>
  <c r="JM7" i="1"/>
  <c r="JK3" i="1"/>
  <c r="JK4" i="1"/>
  <c r="JK5" i="1"/>
  <c r="JK6" i="1"/>
  <c r="JK7" i="1"/>
  <c r="JI3" i="1"/>
  <c r="JI4" i="1"/>
  <c r="JI5" i="1"/>
  <c r="JI6" i="1"/>
  <c r="JI7" i="1"/>
  <c r="JN6" i="1"/>
  <c r="JN5" i="1"/>
  <c r="JN4" i="1"/>
  <c r="JN3" i="1"/>
  <c r="IX17" i="1"/>
  <c r="IV17" i="1"/>
  <c r="IU17" i="1"/>
  <c r="IS17" i="1"/>
  <c r="IQ17" i="1"/>
  <c r="IN17" i="1"/>
  <c r="IN16" i="1"/>
  <c r="IN15" i="1"/>
  <c r="IN14" i="1"/>
  <c r="IN13" i="1"/>
  <c r="IN12" i="1"/>
  <c r="IN11" i="1"/>
  <c r="IN10" i="1"/>
  <c r="IN9" i="1"/>
  <c r="IN8" i="1"/>
  <c r="IN7" i="1"/>
  <c r="IN3" i="1"/>
  <c r="IN4" i="1"/>
  <c r="IN5" i="1"/>
  <c r="IN6" i="1"/>
  <c r="IO3" i="1"/>
  <c r="IO4" i="1"/>
  <c r="IO5" i="1"/>
  <c r="IO6" i="1"/>
  <c r="IO7" i="1"/>
  <c r="IO8" i="1"/>
  <c r="IO9" i="1"/>
  <c r="IO10" i="1"/>
  <c r="IO11" i="1"/>
  <c r="IO12" i="1"/>
  <c r="IO13" i="1"/>
  <c r="IO14" i="1"/>
  <c r="IO15" i="1"/>
  <c r="IO16" i="1"/>
  <c r="IO17" i="1"/>
  <c r="IX16" i="1"/>
  <c r="IV16" i="1"/>
  <c r="IU16" i="1"/>
  <c r="IS16" i="1"/>
  <c r="IQ16" i="1"/>
  <c r="IX15" i="1"/>
  <c r="IV15" i="1"/>
  <c r="IU15" i="1"/>
  <c r="IS15" i="1"/>
  <c r="IQ15" i="1"/>
  <c r="IX14" i="1"/>
  <c r="IV14" i="1"/>
  <c r="IU14" i="1"/>
  <c r="IS14" i="1"/>
  <c r="IQ14" i="1"/>
  <c r="IX13" i="1"/>
  <c r="IV13" i="1"/>
  <c r="IU13" i="1"/>
  <c r="IS13" i="1"/>
  <c r="IQ13" i="1"/>
  <c r="IX12" i="1"/>
  <c r="IV12" i="1"/>
  <c r="IU12" i="1"/>
  <c r="IS12" i="1"/>
  <c r="IQ12" i="1"/>
  <c r="IX11" i="1"/>
  <c r="IV11" i="1"/>
  <c r="IU11" i="1"/>
  <c r="IS11" i="1"/>
  <c r="IQ11" i="1"/>
  <c r="IX10" i="1"/>
  <c r="IV10" i="1"/>
  <c r="IU10" i="1"/>
  <c r="IS10" i="1"/>
  <c r="IQ10" i="1"/>
  <c r="IX9" i="1"/>
  <c r="IV9" i="1"/>
  <c r="IU9" i="1"/>
  <c r="IS9" i="1"/>
  <c r="IQ9" i="1"/>
  <c r="IX8" i="1"/>
  <c r="IV8" i="1"/>
  <c r="IU8" i="1"/>
  <c r="IS8" i="1"/>
  <c r="IQ8" i="1"/>
  <c r="IX7" i="1"/>
  <c r="IV7" i="1"/>
  <c r="IU7" i="1"/>
  <c r="IS7" i="1"/>
  <c r="IQ7" i="1"/>
  <c r="IX3" i="1"/>
  <c r="IX4" i="1"/>
  <c r="IX5" i="1"/>
  <c r="IX6" i="1"/>
  <c r="IV6" i="1"/>
  <c r="IU3" i="1"/>
  <c r="IU4" i="1"/>
  <c r="IU5" i="1"/>
  <c r="IU6" i="1"/>
  <c r="IS3" i="1"/>
  <c r="IS4" i="1"/>
  <c r="IS5" i="1"/>
  <c r="IS6" i="1"/>
  <c r="IQ3" i="1"/>
  <c r="IQ4" i="1"/>
  <c r="IQ5" i="1"/>
  <c r="IQ6" i="1"/>
  <c r="IV5" i="1"/>
  <c r="IV4" i="1"/>
  <c r="IV3" i="1"/>
  <c r="IH17" i="1"/>
  <c r="IF17" i="1"/>
  <c r="IE17" i="1"/>
  <c r="IC17" i="1"/>
  <c r="IA17" i="1"/>
  <c r="HX17" i="1"/>
  <c r="HX16" i="1"/>
  <c r="HX15" i="1"/>
  <c r="HX14" i="1"/>
  <c r="HX13" i="1"/>
  <c r="HX12" i="1"/>
  <c r="HX11" i="1"/>
  <c r="HX10" i="1"/>
  <c r="HX9" i="1"/>
  <c r="HX8" i="1"/>
  <c r="HX7" i="1"/>
  <c r="HX6" i="1"/>
  <c r="HX5" i="1"/>
  <c r="HX4" i="1"/>
  <c r="HX3" i="1"/>
  <c r="HY3" i="1"/>
  <c r="HY4" i="1"/>
  <c r="HY5" i="1"/>
  <c r="HY6" i="1"/>
  <c r="HY7" i="1"/>
  <c r="HY8" i="1"/>
  <c r="HY9" i="1"/>
  <c r="HY10" i="1"/>
  <c r="HY11" i="1"/>
  <c r="HY12" i="1"/>
  <c r="HY13" i="1"/>
  <c r="HY14" i="1"/>
  <c r="HY15" i="1"/>
  <c r="HY16" i="1"/>
  <c r="HY17" i="1"/>
  <c r="HU4" i="1"/>
  <c r="HU5" i="1"/>
  <c r="HU6" i="1"/>
  <c r="HU7" i="1"/>
  <c r="HU8" i="1"/>
  <c r="HU9" i="1"/>
  <c r="HU10" i="1"/>
  <c r="HU11" i="1"/>
  <c r="HU12" i="1"/>
  <c r="HU13" i="1"/>
  <c r="HU14" i="1"/>
  <c r="HU15" i="1"/>
  <c r="HU16" i="1"/>
  <c r="HU17" i="1"/>
  <c r="IH16" i="1"/>
  <c r="IF16" i="1"/>
  <c r="IE16" i="1"/>
  <c r="IC16" i="1"/>
  <c r="IA16" i="1"/>
  <c r="IH15" i="1"/>
  <c r="IF15" i="1"/>
  <c r="IE15" i="1"/>
  <c r="IC15" i="1"/>
  <c r="IA15" i="1"/>
  <c r="IH14" i="1"/>
  <c r="IF14" i="1"/>
  <c r="IE14" i="1"/>
  <c r="IC14" i="1"/>
  <c r="IA14" i="1"/>
  <c r="IH13" i="1"/>
  <c r="IF13" i="1"/>
  <c r="IE13" i="1"/>
  <c r="IC13" i="1"/>
  <c r="IA13" i="1"/>
  <c r="IH12" i="1"/>
  <c r="IF12" i="1"/>
  <c r="IE12" i="1"/>
  <c r="IC12" i="1"/>
  <c r="IA12" i="1"/>
  <c r="IH11" i="1"/>
  <c r="IF11" i="1"/>
  <c r="IE11" i="1"/>
  <c r="IC11" i="1"/>
  <c r="IA11" i="1"/>
  <c r="IH10" i="1"/>
  <c r="IF10" i="1"/>
  <c r="IE10" i="1"/>
  <c r="IC10" i="1"/>
  <c r="IA10" i="1"/>
  <c r="IH9" i="1"/>
  <c r="IF9" i="1"/>
  <c r="IE9" i="1"/>
  <c r="IC9" i="1"/>
  <c r="IA9" i="1"/>
  <c r="IH8" i="1"/>
  <c r="IF8" i="1"/>
  <c r="IE8" i="1"/>
  <c r="IC8" i="1"/>
  <c r="IA8" i="1"/>
  <c r="IH7" i="1"/>
  <c r="IF7" i="1"/>
  <c r="IE7" i="1"/>
  <c r="IC7" i="1"/>
  <c r="IA7" i="1"/>
  <c r="IH6" i="1"/>
  <c r="IF6" i="1"/>
  <c r="IE6" i="1"/>
  <c r="IC6" i="1"/>
  <c r="IA6" i="1"/>
  <c r="IH5" i="1"/>
  <c r="IF5" i="1"/>
  <c r="IE5" i="1"/>
  <c r="IC5" i="1"/>
  <c r="IA5" i="1"/>
  <c r="IH4" i="1"/>
  <c r="IF4" i="1"/>
  <c r="IE4" i="1"/>
  <c r="IC4" i="1"/>
  <c r="IA4" i="1"/>
  <c r="IH3" i="1"/>
  <c r="IF3" i="1"/>
  <c r="IE3" i="1"/>
  <c r="IC3" i="1"/>
  <c r="IA3" i="1"/>
  <c r="N17" i="1"/>
  <c r="L17" i="1"/>
  <c r="K17" i="1"/>
  <c r="I17" i="1"/>
  <c r="G17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N16" i="1"/>
  <c r="L16" i="1"/>
  <c r="K16" i="1"/>
  <c r="I16" i="1"/>
  <c r="G16" i="1"/>
  <c r="N15" i="1"/>
  <c r="L15" i="1"/>
  <c r="K15" i="1"/>
  <c r="I15" i="1"/>
  <c r="G15" i="1"/>
  <c r="N14" i="1"/>
  <c r="L14" i="1"/>
  <c r="K14" i="1"/>
  <c r="I14" i="1"/>
  <c r="G14" i="1"/>
  <c r="N13" i="1"/>
  <c r="L13" i="1"/>
  <c r="K13" i="1"/>
  <c r="I13" i="1"/>
  <c r="G13" i="1"/>
  <c r="N12" i="1"/>
  <c r="L12" i="1"/>
  <c r="K12" i="1"/>
  <c r="I12" i="1"/>
  <c r="G12" i="1"/>
  <c r="N11" i="1"/>
  <c r="L11" i="1"/>
  <c r="K11" i="1"/>
  <c r="I11" i="1"/>
  <c r="G11" i="1"/>
  <c r="N10" i="1"/>
  <c r="L10" i="1"/>
  <c r="K10" i="1"/>
  <c r="I10" i="1"/>
  <c r="G10" i="1"/>
  <c r="N9" i="1"/>
  <c r="L9" i="1"/>
  <c r="K9" i="1"/>
  <c r="I9" i="1"/>
  <c r="G9" i="1"/>
  <c r="N8" i="1"/>
  <c r="L8" i="1"/>
  <c r="K8" i="1"/>
  <c r="I8" i="1"/>
  <c r="G8" i="1"/>
  <c r="N7" i="1"/>
  <c r="L7" i="1"/>
  <c r="K7" i="1"/>
  <c r="I7" i="1"/>
  <c r="G7" i="1"/>
  <c r="N6" i="1"/>
  <c r="L6" i="1"/>
  <c r="K6" i="1"/>
  <c r="I6" i="1"/>
  <c r="G6" i="1"/>
  <c r="N5" i="1"/>
  <c r="L5" i="1"/>
  <c r="K5" i="1"/>
  <c r="I5" i="1"/>
  <c r="G5" i="1"/>
  <c r="N4" i="1"/>
  <c r="L4" i="1"/>
  <c r="K4" i="1"/>
  <c r="I4" i="1"/>
  <c r="G4" i="1"/>
  <c r="N3" i="1"/>
  <c r="L3" i="1"/>
  <c r="K3" i="1"/>
  <c r="I3" i="1"/>
  <c r="G3" i="1"/>
  <c r="BJ3" i="7"/>
  <c r="BJ4" i="7"/>
  <c r="BJ5" i="7"/>
  <c r="BJ6" i="7"/>
  <c r="BJ7" i="7"/>
  <c r="BJ8" i="7"/>
  <c r="BJ9" i="7"/>
  <c r="BJ10" i="7"/>
  <c r="BJ11" i="7"/>
  <c r="BJ12" i="7"/>
  <c r="BJ13" i="7"/>
  <c r="BJ14" i="7"/>
  <c r="BJ15" i="7"/>
  <c r="BJ16" i="7"/>
  <c r="BJ2" i="7"/>
  <c r="AW3" i="7"/>
  <c r="AW4" i="7"/>
  <c r="AW5" i="7"/>
  <c r="AW6" i="7"/>
  <c r="AW7" i="7"/>
  <c r="AW8" i="7"/>
  <c r="AW9" i="7"/>
  <c r="AW10" i="7"/>
  <c r="AW11" i="7"/>
  <c r="AW12" i="7"/>
  <c r="AW13" i="7"/>
  <c r="AW14" i="7"/>
  <c r="AW15" i="7"/>
  <c r="AW16" i="7"/>
  <c r="AW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2" i="7"/>
  <c r="HQ5" i="1"/>
  <c r="HQ6" i="1"/>
  <c r="HQ7" i="1"/>
  <c r="HQ8" i="1"/>
  <c r="HS17" i="1"/>
  <c r="HN17" i="1"/>
  <c r="HL17" i="1"/>
  <c r="HK17" i="1"/>
  <c r="HI17" i="1"/>
  <c r="HG17" i="1"/>
  <c r="HD17" i="1"/>
  <c r="HD16" i="1"/>
  <c r="HD15" i="1"/>
  <c r="HD14" i="1"/>
  <c r="HD13" i="1"/>
  <c r="HD12" i="1"/>
  <c r="HD11" i="1"/>
  <c r="HD10" i="1"/>
  <c r="HD9" i="1"/>
  <c r="HD3" i="1"/>
  <c r="HD4" i="1"/>
  <c r="HD5" i="1"/>
  <c r="HD6" i="1"/>
  <c r="HD7" i="1"/>
  <c r="HD8" i="1"/>
  <c r="HE3" i="1"/>
  <c r="HE4" i="1"/>
  <c r="HE5" i="1"/>
  <c r="HE6" i="1"/>
  <c r="HE7" i="1"/>
  <c r="HE8" i="1"/>
  <c r="HE9" i="1"/>
  <c r="HE10" i="1"/>
  <c r="HE11" i="1"/>
  <c r="HE12" i="1"/>
  <c r="HE13" i="1"/>
  <c r="HE14" i="1"/>
  <c r="HE15" i="1"/>
  <c r="HE16" i="1"/>
  <c r="HE17" i="1"/>
  <c r="HS16" i="1"/>
  <c r="HN16" i="1"/>
  <c r="HL16" i="1"/>
  <c r="HK16" i="1"/>
  <c r="HI16" i="1"/>
  <c r="HG16" i="1"/>
  <c r="HS15" i="1"/>
  <c r="HN15" i="1"/>
  <c r="HL15" i="1"/>
  <c r="HK15" i="1"/>
  <c r="HI15" i="1"/>
  <c r="HG15" i="1"/>
  <c r="HS14" i="1"/>
  <c r="HN14" i="1"/>
  <c r="HL14" i="1"/>
  <c r="HK14" i="1"/>
  <c r="HI14" i="1"/>
  <c r="HG14" i="1"/>
  <c r="HS13" i="1"/>
  <c r="HN13" i="1"/>
  <c r="HL13" i="1"/>
  <c r="HK13" i="1"/>
  <c r="HI13" i="1"/>
  <c r="HG13" i="1"/>
  <c r="HS12" i="1"/>
  <c r="HN12" i="1"/>
  <c r="HL12" i="1"/>
  <c r="HK12" i="1"/>
  <c r="HI12" i="1"/>
  <c r="HG12" i="1"/>
  <c r="HS11" i="1"/>
  <c r="HN11" i="1"/>
  <c r="HL11" i="1"/>
  <c r="HK11" i="1"/>
  <c r="HI11" i="1"/>
  <c r="HG11" i="1"/>
  <c r="HS10" i="1"/>
  <c r="HN10" i="1"/>
  <c r="HL10" i="1"/>
  <c r="HK10" i="1"/>
  <c r="HI10" i="1"/>
  <c r="HG10" i="1"/>
  <c r="HS9" i="1"/>
  <c r="HN9" i="1"/>
  <c r="HL9" i="1"/>
  <c r="HK9" i="1"/>
  <c r="HI9" i="1"/>
  <c r="HG9" i="1"/>
  <c r="HS8" i="1"/>
  <c r="HN3" i="1"/>
  <c r="HN4" i="1"/>
  <c r="HN5" i="1"/>
  <c r="HN6" i="1"/>
  <c r="HN7" i="1"/>
  <c r="HN8" i="1"/>
  <c r="HL8" i="1"/>
  <c r="HK3" i="1"/>
  <c r="HK4" i="1"/>
  <c r="HK5" i="1"/>
  <c r="HK6" i="1"/>
  <c r="HK7" i="1"/>
  <c r="HK8" i="1"/>
  <c r="HI3" i="1"/>
  <c r="HI4" i="1"/>
  <c r="HI5" i="1"/>
  <c r="HI6" i="1"/>
  <c r="HI7" i="1"/>
  <c r="HI8" i="1"/>
  <c r="HG3" i="1"/>
  <c r="HG4" i="1"/>
  <c r="HG5" i="1"/>
  <c r="HG6" i="1"/>
  <c r="HG7" i="1"/>
  <c r="HG8" i="1"/>
  <c r="HS7" i="1"/>
  <c r="HL7" i="1"/>
  <c r="HS6" i="1"/>
  <c r="HL6" i="1"/>
  <c r="HS5" i="1"/>
  <c r="HL5" i="1"/>
  <c r="HS4" i="1"/>
  <c r="HL4" i="1"/>
  <c r="HS3" i="1"/>
  <c r="HL3" i="1"/>
  <c r="ER3" i="1"/>
  <c r="EO3" i="1"/>
  <c r="EM3" i="1"/>
  <c r="EK3" i="1"/>
  <c r="EH3" i="1"/>
  <c r="GW17" i="1"/>
  <c r="GU17" i="1"/>
  <c r="GT17" i="1"/>
  <c r="GR17" i="1"/>
  <c r="GP17" i="1"/>
  <c r="GM17" i="1"/>
  <c r="GM16" i="1"/>
  <c r="GM15" i="1"/>
  <c r="GM14" i="1"/>
  <c r="GM13" i="1"/>
  <c r="GM12" i="1"/>
  <c r="GM11" i="1"/>
  <c r="GM10" i="1"/>
  <c r="GM9" i="1"/>
  <c r="GM3" i="1"/>
  <c r="GM4" i="1"/>
  <c r="GM5" i="1"/>
  <c r="GM6" i="1"/>
  <c r="GM7" i="1"/>
  <c r="GM8" i="1"/>
  <c r="GN3" i="1"/>
  <c r="GN4" i="1"/>
  <c r="GN5" i="1"/>
  <c r="GN6" i="1"/>
  <c r="GN7" i="1"/>
  <c r="GN8" i="1"/>
  <c r="GN9" i="1"/>
  <c r="GN10" i="1"/>
  <c r="GN11" i="1"/>
  <c r="GN12" i="1"/>
  <c r="GN13" i="1"/>
  <c r="GN14" i="1"/>
  <c r="GN15" i="1"/>
  <c r="GN16" i="1"/>
  <c r="GN17" i="1"/>
  <c r="GW16" i="1"/>
  <c r="GU16" i="1"/>
  <c r="GT16" i="1"/>
  <c r="GR16" i="1"/>
  <c r="GP16" i="1"/>
  <c r="GW15" i="1"/>
  <c r="GU15" i="1"/>
  <c r="GT15" i="1"/>
  <c r="GR15" i="1"/>
  <c r="GP15" i="1"/>
  <c r="GW14" i="1"/>
  <c r="GU14" i="1"/>
  <c r="GT14" i="1"/>
  <c r="GR14" i="1"/>
  <c r="GP14" i="1"/>
  <c r="GW13" i="1"/>
  <c r="GU13" i="1"/>
  <c r="GT13" i="1"/>
  <c r="GR13" i="1"/>
  <c r="GP13" i="1"/>
  <c r="GW12" i="1"/>
  <c r="GU12" i="1"/>
  <c r="GT12" i="1"/>
  <c r="GR12" i="1"/>
  <c r="GP12" i="1"/>
  <c r="GW11" i="1"/>
  <c r="GU11" i="1"/>
  <c r="GT11" i="1"/>
  <c r="GR11" i="1"/>
  <c r="GP11" i="1"/>
  <c r="GW10" i="1"/>
  <c r="GU10" i="1"/>
  <c r="GT10" i="1"/>
  <c r="GR10" i="1"/>
  <c r="GP10" i="1"/>
  <c r="GW9" i="1"/>
  <c r="GU9" i="1"/>
  <c r="GT9" i="1"/>
  <c r="GR9" i="1"/>
  <c r="GP9" i="1"/>
  <c r="GW3" i="1"/>
  <c r="GW4" i="1"/>
  <c r="GW5" i="1"/>
  <c r="GW6" i="1"/>
  <c r="GW7" i="1"/>
  <c r="GW8" i="1"/>
  <c r="GU8" i="1"/>
  <c r="GT3" i="1"/>
  <c r="GT4" i="1"/>
  <c r="GT5" i="1"/>
  <c r="GT6" i="1"/>
  <c r="GT7" i="1"/>
  <c r="GT8" i="1"/>
  <c r="GR3" i="1"/>
  <c r="GR4" i="1"/>
  <c r="GR5" i="1"/>
  <c r="GR6" i="1"/>
  <c r="GR7" i="1"/>
  <c r="GR8" i="1"/>
  <c r="GP3" i="1"/>
  <c r="GP4" i="1"/>
  <c r="GP5" i="1"/>
  <c r="GP6" i="1"/>
  <c r="GP7" i="1"/>
  <c r="GP8" i="1"/>
  <c r="GU7" i="1"/>
  <c r="GU6" i="1"/>
  <c r="GU5" i="1"/>
  <c r="GU4" i="1"/>
  <c r="GU3" i="1"/>
  <c r="DQ3" i="1"/>
  <c r="DT3" i="1"/>
  <c r="DV3" i="1"/>
  <c r="DX3" i="1"/>
  <c r="EA3" i="1"/>
  <c r="GH17" i="1"/>
  <c r="GC17" i="1"/>
  <c r="GA17" i="1"/>
  <c r="FZ17" i="1"/>
  <c r="FX17" i="1"/>
  <c r="FV17" i="1"/>
  <c r="FS17" i="1"/>
  <c r="FS16" i="1"/>
  <c r="FS15" i="1"/>
  <c r="FS14" i="1"/>
  <c r="FS13" i="1"/>
  <c r="FS12" i="1"/>
  <c r="FS11" i="1"/>
  <c r="FS10" i="1"/>
  <c r="FS9" i="1"/>
  <c r="FS8" i="1"/>
  <c r="FS7" i="1"/>
  <c r="FS6" i="1"/>
  <c r="FS5" i="1"/>
  <c r="FS4" i="1"/>
  <c r="FS3" i="1"/>
  <c r="FT3" i="1"/>
  <c r="FT4" i="1"/>
  <c r="FT5" i="1"/>
  <c r="FT6" i="1"/>
  <c r="FT7" i="1"/>
  <c r="FT8" i="1"/>
  <c r="FT9" i="1"/>
  <c r="FT10" i="1"/>
  <c r="FT11" i="1"/>
  <c r="FT12" i="1"/>
  <c r="FT13" i="1"/>
  <c r="FT14" i="1"/>
  <c r="FT15" i="1"/>
  <c r="FT16" i="1"/>
  <c r="FT17" i="1"/>
  <c r="GH16" i="1"/>
  <c r="GC16" i="1"/>
  <c r="GA16" i="1"/>
  <c r="FZ16" i="1"/>
  <c r="FX16" i="1"/>
  <c r="FV16" i="1"/>
  <c r="GH15" i="1"/>
  <c r="GC15" i="1"/>
  <c r="GA15" i="1"/>
  <c r="FZ15" i="1"/>
  <c r="FX15" i="1"/>
  <c r="FV15" i="1"/>
  <c r="GH14" i="1"/>
  <c r="GC14" i="1"/>
  <c r="GA14" i="1"/>
  <c r="FZ14" i="1"/>
  <c r="FX14" i="1"/>
  <c r="FV14" i="1"/>
  <c r="GH13" i="1"/>
  <c r="GC13" i="1"/>
  <c r="GA13" i="1"/>
  <c r="FZ13" i="1"/>
  <c r="FX13" i="1"/>
  <c r="FV13" i="1"/>
  <c r="GH12" i="1"/>
  <c r="GC12" i="1"/>
  <c r="GA12" i="1"/>
  <c r="FZ12" i="1"/>
  <c r="FX12" i="1"/>
  <c r="FV12" i="1"/>
  <c r="GH11" i="1"/>
  <c r="GC11" i="1"/>
  <c r="GA11" i="1"/>
  <c r="FZ11" i="1"/>
  <c r="FX11" i="1"/>
  <c r="FV11" i="1"/>
  <c r="GH10" i="1"/>
  <c r="GC10" i="1"/>
  <c r="GA10" i="1"/>
  <c r="FZ10" i="1"/>
  <c r="FX10" i="1"/>
  <c r="FV10" i="1"/>
  <c r="GH9" i="1"/>
  <c r="GC9" i="1"/>
  <c r="GA9" i="1"/>
  <c r="FZ9" i="1"/>
  <c r="FX9" i="1"/>
  <c r="FV9" i="1"/>
  <c r="GH8" i="1"/>
  <c r="GC8" i="1"/>
  <c r="GA8" i="1"/>
  <c r="FZ8" i="1"/>
  <c r="FX8" i="1"/>
  <c r="FV8" i="1"/>
  <c r="GH7" i="1"/>
  <c r="GC7" i="1"/>
  <c r="GA7" i="1"/>
  <c r="FZ7" i="1"/>
  <c r="FX7" i="1"/>
  <c r="FV7" i="1"/>
  <c r="GH6" i="1"/>
  <c r="GC6" i="1"/>
  <c r="GA6" i="1"/>
  <c r="FZ6" i="1"/>
  <c r="FX6" i="1"/>
  <c r="FV6" i="1"/>
  <c r="GH5" i="1"/>
  <c r="GC5" i="1"/>
  <c r="GA5" i="1"/>
  <c r="FZ5" i="1"/>
  <c r="FX5" i="1"/>
  <c r="FV5" i="1"/>
  <c r="GH4" i="1"/>
  <c r="GC4" i="1"/>
  <c r="GA4" i="1"/>
  <c r="FZ4" i="1"/>
  <c r="FX4" i="1"/>
  <c r="FV4" i="1"/>
  <c r="GH3" i="1"/>
  <c r="GC3" i="1"/>
  <c r="GA3" i="1"/>
  <c r="FZ3" i="1"/>
  <c r="FX3" i="1"/>
  <c r="FV3" i="1"/>
  <c r="FL17" i="1"/>
  <c r="FJ17" i="1"/>
  <c r="FI17" i="1"/>
  <c r="FG17" i="1"/>
  <c r="FE17" i="1"/>
  <c r="FB17" i="1"/>
  <c r="FB16" i="1"/>
  <c r="FB15" i="1"/>
  <c r="FB14" i="1"/>
  <c r="FB13" i="1"/>
  <c r="FB12" i="1"/>
  <c r="FB11" i="1"/>
  <c r="FB10" i="1"/>
  <c r="FB9" i="1"/>
  <c r="FB8" i="1"/>
  <c r="FB7" i="1"/>
  <c r="FB6" i="1"/>
  <c r="FB5" i="1"/>
  <c r="FB4" i="1"/>
  <c r="FB3" i="1"/>
  <c r="FC3" i="1"/>
  <c r="FC4" i="1"/>
  <c r="FC5" i="1"/>
  <c r="FC6" i="1"/>
  <c r="FC7" i="1"/>
  <c r="FC8" i="1"/>
  <c r="FC9" i="1"/>
  <c r="FC10" i="1"/>
  <c r="FC11" i="1"/>
  <c r="FC12" i="1"/>
  <c r="FC13" i="1"/>
  <c r="FC14" i="1"/>
  <c r="FC15" i="1"/>
  <c r="FC16" i="1"/>
  <c r="FC17" i="1"/>
  <c r="FL16" i="1"/>
  <c r="FJ16" i="1"/>
  <c r="FI16" i="1"/>
  <c r="FG16" i="1"/>
  <c r="FE16" i="1"/>
  <c r="FL15" i="1"/>
  <c r="FJ15" i="1"/>
  <c r="FI15" i="1"/>
  <c r="FG15" i="1"/>
  <c r="FE15" i="1"/>
  <c r="FL14" i="1"/>
  <c r="FJ14" i="1"/>
  <c r="FI14" i="1"/>
  <c r="FG14" i="1"/>
  <c r="FE14" i="1"/>
  <c r="FL13" i="1"/>
  <c r="FJ13" i="1"/>
  <c r="FI13" i="1"/>
  <c r="FG13" i="1"/>
  <c r="FE13" i="1"/>
  <c r="FL12" i="1"/>
  <c r="FJ12" i="1"/>
  <c r="FI12" i="1"/>
  <c r="FG12" i="1"/>
  <c r="FE12" i="1"/>
  <c r="FL11" i="1"/>
  <c r="FJ11" i="1"/>
  <c r="FI11" i="1"/>
  <c r="FG11" i="1"/>
  <c r="FE11" i="1"/>
  <c r="FL10" i="1"/>
  <c r="FJ10" i="1"/>
  <c r="FI10" i="1"/>
  <c r="FG10" i="1"/>
  <c r="FE10" i="1"/>
  <c r="FL9" i="1"/>
  <c r="FJ9" i="1"/>
  <c r="FI9" i="1"/>
  <c r="FG9" i="1"/>
  <c r="FE9" i="1"/>
  <c r="FL8" i="1"/>
  <c r="FJ8" i="1"/>
  <c r="FI8" i="1"/>
  <c r="FG8" i="1"/>
  <c r="FE8" i="1"/>
  <c r="FL7" i="1"/>
  <c r="FJ7" i="1"/>
  <c r="FI7" i="1"/>
  <c r="FG7" i="1"/>
  <c r="FE7" i="1"/>
  <c r="FL6" i="1"/>
  <c r="FJ6" i="1"/>
  <c r="FI6" i="1"/>
  <c r="FG6" i="1"/>
  <c r="FE6" i="1"/>
  <c r="FL5" i="1"/>
  <c r="FJ5" i="1"/>
  <c r="FI5" i="1"/>
  <c r="FG5" i="1"/>
  <c r="FE5" i="1"/>
  <c r="FL4" i="1"/>
  <c r="FJ4" i="1"/>
  <c r="FI4" i="1"/>
  <c r="FG4" i="1"/>
  <c r="FE4" i="1"/>
  <c r="FL3" i="1"/>
  <c r="FJ3" i="1"/>
  <c r="FI3" i="1"/>
  <c r="FG3" i="1"/>
  <c r="FE3" i="1"/>
  <c r="ER17" i="1"/>
  <c r="EP17" i="1"/>
  <c r="EO17" i="1"/>
  <c r="EM17" i="1"/>
  <c r="EK17" i="1"/>
  <c r="EH17" i="1"/>
  <c r="EH16" i="1"/>
  <c r="EH15" i="1"/>
  <c r="EH14" i="1"/>
  <c r="EH13" i="1"/>
  <c r="EH12" i="1"/>
  <c r="EH11" i="1"/>
  <c r="EH10" i="1"/>
  <c r="EH9" i="1"/>
  <c r="EH8" i="1"/>
  <c r="EH7" i="1"/>
  <c r="EH6" i="1"/>
  <c r="EH5" i="1"/>
  <c r="EH4" i="1"/>
  <c r="EI3" i="1"/>
  <c r="EI4" i="1"/>
  <c r="EI5" i="1"/>
  <c r="EI6" i="1"/>
  <c r="EI7" i="1"/>
  <c r="EI8" i="1"/>
  <c r="EI9" i="1"/>
  <c r="EI10" i="1"/>
  <c r="EI11" i="1"/>
  <c r="EI12" i="1"/>
  <c r="EI13" i="1"/>
  <c r="EI14" i="1"/>
  <c r="EI15" i="1"/>
  <c r="EI16" i="1"/>
  <c r="EI17" i="1"/>
  <c r="ER16" i="1"/>
  <c r="EP16" i="1"/>
  <c r="EO16" i="1"/>
  <c r="EM16" i="1"/>
  <c r="EK16" i="1"/>
  <c r="ER15" i="1"/>
  <c r="EP15" i="1"/>
  <c r="EO15" i="1"/>
  <c r="EM15" i="1"/>
  <c r="EK15" i="1"/>
  <c r="ER14" i="1"/>
  <c r="EP14" i="1"/>
  <c r="EO14" i="1"/>
  <c r="EM14" i="1"/>
  <c r="EK14" i="1"/>
  <c r="ER13" i="1"/>
  <c r="EP13" i="1"/>
  <c r="EO13" i="1"/>
  <c r="EM13" i="1"/>
  <c r="EK13" i="1"/>
  <c r="ER12" i="1"/>
  <c r="EP12" i="1"/>
  <c r="EO12" i="1"/>
  <c r="EM12" i="1"/>
  <c r="EK12" i="1"/>
  <c r="ER11" i="1"/>
  <c r="EP11" i="1"/>
  <c r="EO11" i="1"/>
  <c r="EM11" i="1"/>
  <c r="EK11" i="1"/>
  <c r="ER10" i="1"/>
  <c r="EP10" i="1"/>
  <c r="EO10" i="1"/>
  <c r="EM10" i="1"/>
  <c r="EK10" i="1"/>
  <c r="ER9" i="1"/>
  <c r="EP9" i="1"/>
  <c r="EO9" i="1"/>
  <c r="EM9" i="1"/>
  <c r="EK9" i="1"/>
  <c r="ER8" i="1"/>
  <c r="EP8" i="1"/>
  <c r="EO8" i="1"/>
  <c r="EM8" i="1"/>
  <c r="EK8" i="1"/>
  <c r="ER7" i="1"/>
  <c r="EP7" i="1"/>
  <c r="EO7" i="1"/>
  <c r="EM7" i="1"/>
  <c r="EK7" i="1"/>
  <c r="ER6" i="1"/>
  <c r="EP6" i="1"/>
  <c r="EO6" i="1"/>
  <c r="EM6" i="1"/>
  <c r="EK6" i="1"/>
  <c r="ER5" i="1"/>
  <c r="EP5" i="1"/>
  <c r="EO5" i="1"/>
  <c r="EM5" i="1"/>
  <c r="EK5" i="1"/>
  <c r="ER4" i="1"/>
  <c r="EP4" i="1"/>
  <c r="EO4" i="1"/>
  <c r="EM4" i="1"/>
  <c r="EK4" i="1"/>
  <c r="EP3" i="1"/>
  <c r="EA4" i="1"/>
  <c r="EA5" i="1"/>
  <c r="EA6" i="1"/>
  <c r="EA7" i="1"/>
  <c r="EA8" i="1"/>
  <c r="EA9" i="1"/>
  <c r="EA10" i="1"/>
  <c r="EA11" i="1"/>
  <c r="EA12" i="1"/>
  <c r="EA13" i="1"/>
  <c r="EA14" i="1"/>
  <c r="EA15" i="1"/>
  <c r="EA16" i="1"/>
  <c r="EA17" i="1"/>
  <c r="DX4" i="1"/>
  <c r="DX5" i="1"/>
  <c r="DX6" i="1"/>
  <c r="DX7" i="1"/>
  <c r="DX8" i="1"/>
  <c r="DX9" i="1"/>
  <c r="DX10" i="1"/>
  <c r="DX11" i="1"/>
  <c r="DX12" i="1"/>
  <c r="DX13" i="1"/>
  <c r="DX14" i="1"/>
  <c r="DX15" i="1"/>
  <c r="DX16" i="1"/>
  <c r="DX17" i="1"/>
  <c r="DV4" i="1"/>
  <c r="DV5" i="1"/>
  <c r="DV6" i="1"/>
  <c r="DV7" i="1"/>
  <c r="DV8" i="1"/>
  <c r="DV9" i="1"/>
  <c r="DV10" i="1"/>
  <c r="DV11" i="1"/>
  <c r="DV12" i="1"/>
  <c r="DV13" i="1"/>
  <c r="DV14" i="1"/>
  <c r="DV15" i="1"/>
  <c r="DV16" i="1"/>
  <c r="DV17" i="1"/>
  <c r="DT4" i="1"/>
  <c r="DT5" i="1"/>
  <c r="DT6" i="1"/>
  <c r="DT7" i="1"/>
  <c r="DT8" i="1"/>
  <c r="DT9" i="1"/>
  <c r="DT10" i="1"/>
  <c r="DT11" i="1"/>
  <c r="DT12" i="1"/>
  <c r="DT13" i="1"/>
  <c r="DT14" i="1"/>
  <c r="DT15" i="1"/>
  <c r="DT16" i="1"/>
  <c r="DT17" i="1"/>
  <c r="DR3" i="1"/>
  <c r="DQ4" i="1"/>
  <c r="DQ5" i="1"/>
  <c r="DQ6" i="1"/>
  <c r="DQ7" i="1"/>
  <c r="DQ8" i="1"/>
  <c r="DQ9" i="1"/>
  <c r="DQ10" i="1"/>
  <c r="DQ11" i="1"/>
  <c r="DQ12" i="1"/>
  <c r="DQ13" i="1"/>
  <c r="DQ14" i="1"/>
  <c r="DQ15" i="1"/>
  <c r="DQ16" i="1"/>
  <c r="DQ17" i="1"/>
  <c r="DI17" i="1"/>
  <c r="DH17" i="1"/>
  <c r="DE17" i="1"/>
  <c r="CZ3" i="1"/>
  <c r="CZ4" i="1"/>
  <c r="CZ5" i="1"/>
  <c r="CZ6" i="1"/>
  <c r="CZ7" i="1"/>
  <c r="CZ8" i="1"/>
  <c r="CZ9" i="1"/>
  <c r="CZ10" i="1"/>
  <c r="CZ11" i="1"/>
  <c r="CZ12" i="1"/>
  <c r="CZ13" i="1"/>
  <c r="CZ14" i="1"/>
  <c r="CZ15" i="1"/>
  <c r="CZ16" i="1"/>
  <c r="CZ17" i="1"/>
  <c r="CV9" i="1"/>
  <c r="CV10" i="1"/>
  <c r="CV11" i="1"/>
  <c r="CV12" i="1"/>
  <c r="CV13" i="1"/>
  <c r="CV14" i="1"/>
  <c r="CV15" i="1"/>
  <c r="CV16" i="1"/>
  <c r="CV17" i="1"/>
  <c r="DI16" i="1"/>
  <c r="DH16" i="1"/>
  <c r="DE16" i="1"/>
  <c r="DI15" i="1"/>
  <c r="DH15" i="1"/>
  <c r="DE15" i="1"/>
  <c r="DI14" i="1"/>
  <c r="DH14" i="1"/>
  <c r="DE14" i="1"/>
  <c r="DI13" i="1"/>
  <c r="DH13" i="1"/>
  <c r="DE13" i="1"/>
  <c r="DI12" i="1"/>
  <c r="DH12" i="1"/>
  <c r="DE12" i="1"/>
  <c r="DI11" i="1"/>
  <c r="DH11" i="1"/>
  <c r="DE11" i="1"/>
  <c r="DI10" i="1"/>
  <c r="DH10" i="1"/>
  <c r="DE10" i="1"/>
  <c r="DI9" i="1"/>
  <c r="DH9" i="1"/>
  <c r="DE9" i="1"/>
  <c r="DI8" i="1"/>
  <c r="DE8" i="1"/>
  <c r="DI7" i="1"/>
  <c r="DE7" i="1"/>
  <c r="DI6" i="1"/>
  <c r="DE6" i="1"/>
  <c r="DI5" i="1"/>
  <c r="DE5" i="1"/>
  <c r="DI4" i="1"/>
  <c r="DE4" i="1"/>
  <c r="DI3" i="1"/>
  <c r="DE3" i="1"/>
  <c r="EW4" i="1"/>
  <c r="EW5" i="1"/>
  <c r="EW6" i="1"/>
  <c r="EW7" i="1"/>
  <c r="EW8" i="1"/>
  <c r="EW9" i="1"/>
  <c r="EW10" i="1"/>
  <c r="EW11" i="1"/>
  <c r="EW12" i="1"/>
  <c r="EW13" i="1"/>
  <c r="EW14" i="1"/>
  <c r="EW15" i="1"/>
  <c r="EW16" i="1"/>
  <c r="EW17" i="1"/>
  <c r="EW3" i="1"/>
  <c r="BI3" i="7"/>
  <c r="BI4" i="7"/>
  <c r="BI5" i="7"/>
  <c r="BI6" i="7"/>
  <c r="BI7" i="7"/>
  <c r="BK7" i="7"/>
  <c r="BI8" i="7"/>
  <c r="BI9" i="7"/>
  <c r="BI10" i="7"/>
  <c r="BL10" i="7"/>
  <c r="BI11" i="7"/>
  <c r="BI12" i="7"/>
  <c r="BK12" i="7"/>
  <c r="BL12" i="7"/>
  <c r="BI13" i="7"/>
  <c r="BK13" i="7"/>
  <c r="BL13" i="7"/>
  <c r="BI14" i="7"/>
  <c r="BK14" i="7"/>
  <c r="BL14" i="7"/>
  <c r="BI15" i="7"/>
  <c r="BK15" i="7"/>
  <c r="BL15" i="7"/>
  <c r="BI16" i="7"/>
  <c r="BK16" i="7"/>
  <c r="BL16" i="7"/>
  <c r="BK17" i="7"/>
  <c r="BL17" i="7"/>
  <c r="BL2" i="7"/>
  <c r="BK2" i="7"/>
  <c r="BI2" i="7"/>
  <c r="AV3" i="7"/>
  <c r="AV4" i="7"/>
  <c r="AV5" i="7"/>
  <c r="AV6" i="7"/>
  <c r="AV7" i="7"/>
  <c r="AV8" i="7"/>
  <c r="AV9" i="7"/>
  <c r="AV10" i="7"/>
  <c r="AV11" i="7"/>
  <c r="AV12" i="7"/>
  <c r="AX12" i="7"/>
  <c r="AV13" i="7"/>
  <c r="AX13" i="7"/>
  <c r="AV14" i="7"/>
  <c r="AX14" i="7"/>
  <c r="AV15" i="7"/>
  <c r="AX15" i="7"/>
  <c r="AV16" i="7"/>
  <c r="AX16" i="7"/>
  <c r="AX17" i="7"/>
  <c r="AX2" i="7"/>
  <c r="AV2" i="7"/>
  <c r="V12" i="7"/>
  <c r="V13" i="7"/>
  <c r="V14" i="7"/>
  <c r="V15" i="7"/>
  <c r="V16" i="7"/>
  <c r="V17" i="7"/>
  <c r="V2" i="7"/>
  <c r="U12" i="7"/>
  <c r="U13" i="7"/>
  <c r="U14" i="7"/>
  <c r="U15" i="7"/>
  <c r="U16" i="7"/>
  <c r="U17" i="7"/>
  <c r="U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2" i="7"/>
  <c r="C12" i="7"/>
  <c r="C13" i="7"/>
  <c r="C14" i="7"/>
  <c r="C15" i="7"/>
  <c r="C16" i="7"/>
  <c r="C17" i="7"/>
  <c r="C2" i="7"/>
  <c r="A15" i="7"/>
  <c r="A16" i="7"/>
  <c r="A4" i="7"/>
  <c r="A5" i="7"/>
  <c r="A6" i="7"/>
  <c r="A7" i="7"/>
  <c r="A8" i="7"/>
  <c r="A9" i="7"/>
  <c r="A10" i="7"/>
  <c r="A11" i="7"/>
  <c r="A12" i="7"/>
  <c r="A13" i="7"/>
  <c r="A14" i="7"/>
  <c r="A3" i="7"/>
  <c r="QB4" i="1"/>
  <c r="QB5" i="1"/>
  <c r="PW6" i="1"/>
  <c r="QB6" i="1"/>
  <c r="PW7" i="1"/>
  <c r="QB7" i="1"/>
  <c r="PW8" i="1"/>
  <c r="QB8" i="1"/>
  <c r="PW9" i="1"/>
  <c r="QB9" i="1"/>
  <c r="PW10" i="1"/>
  <c r="QB10" i="1"/>
  <c r="QB3" i="1"/>
  <c r="PZ10" i="1"/>
  <c r="PZ9" i="1"/>
  <c r="PZ8" i="1"/>
  <c r="PZ7" i="1"/>
  <c r="PZ6" i="1"/>
  <c r="PZ5" i="1"/>
  <c r="PZ4" i="1"/>
  <c r="PZ3" i="1"/>
  <c r="DY17" i="1"/>
  <c r="DY16" i="1"/>
  <c r="DY15" i="1"/>
  <c r="DY14" i="1"/>
  <c r="DY13" i="1"/>
  <c r="DY12" i="1"/>
  <c r="DY11" i="1"/>
  <c r="DY10" i="1"/>
  <c r="DY9" i="1"/>
  <c r="DY8" i="1"/>
  <c r="DY7" i="1"/>
  <c r="DY6" i="1"/>
  <c r="DY5" i="1"/>
  <c r="DY4" i="1"/>
  <c r="DY3" i="1"/>
  <c r="PY10" i="1"/>
  <c r="AV4" i="1"/>
  <c r="AX4" i="1"/>
  <c r="AZ4" i="1"/>
  <c r="BR4" i="1"/>
  <c r="BT4" i="1"/>
  <c r="BV4" i="1"/>
  <c r="BX4" i="1"/>
  <c r="BZ4" i="1"/>
  <c r="NS4" i="1"/>
  <c r="AV5" i="1"/>
  <c r="AX5" i="1"/>
  <c r="AZ5" i="1"/>
  <c r="BR5" i="1"/>
  <c r="BT5" i="1"/>
  <c r="BV5" i="1"/>
  <c r="BX5" i="1"/>
  <c r="BZ5" i="1"/>
  <c r="PU5" i="1"/>
  <c r="NS5" i="1"/>
  <c r="AV6" i="1"/>
  <c r="AX6" i="1"/>
  <c r="AZ6" i="1"/>
  <c r="BR6" i="1"/>
  <c r="BT6" i="1"/>
  <c r="BV6" i="1"/>
  <c r="BX6" i="1"/>
  <c r="BZ6" i="1"/>
  <c r="PU6" i="1"/>
  <c r="NS6" i="1"/>
  <c r="AV7" i="1"/>
  <c r="AX7" i="1"/>
  <c r="AZ7" i="1"/>
  <c r="BR7" i="1"/>
  <c r="BT7" i="1"/>
  <c r="BV7" i="1"/>
  <c r="BX7" i="1"/>
  <c r="BZ7" i="1"/>
  <c r="PU7" i="1"/>
  <c r="NS7" i="1"/>
  <c r="AV8" i="1"/>
  <c r="AX8" i="1"/>
  <c r="AZ8" i="1"/>
  <c r="BR8" i="1"/>
  <c r="BT8" i="1"/>
  <c r="BV8" i="1"/>
  <c r="BX8" i="1"/>
  <c r="BZ8" i="1"/>
  <c r="PU8" i="1"/>
  <c r="NS8" i="1"/>
  <c r="AV9" i="1"/>
  <c r="AX9" i="1"/>
  <c r="AZ9" i="1"/>
  <c r="BR9" i="1"/>
  <c r="BT9" i="1"/>
  <c r="BV9" i="1"/>
  <c r="BX9" i="1"/>
  <c r="BZ9" i="1"/>
  <c r="PU9" i="1"/>
  <c r="NS9" i="1"/>
  <c r="AV10" i="1"/>
  <c r="AX10" i="1"/>
  <c r="AZ10" i="1"/>
  <c r="BR10" i="1"/>
  <c r="BT10" i="1"/>
  <c r="BV10" i="1"/>
  <c r="BX10" i="1"/>
  <c r="BZ10" i="1"/>
  <c r="PU10" i="1"/>
  <c r="NS10" i="1"/>
  <c r="AV11" i="1"/>
  <c r="AX11" i="1"/>
  <c r="AZ11" i="1"/>
  <c r="BR11" i="1"/>
  <c r="BT11" i="1"/>
  <c r="BV11" i="1"/>
  <c r="BX11" i="1"/>
  <c r="BZ11" i="1"/>
  <c r="NS11" i="1"/>
  <c r="AV12" i="1"/>
  <c r="AX12" i="1"/>
  <c r="AZ12" i="1"/>
  <c r="BR12" i="1"/>
  <c r="BT12" i="1"/>
  <c r="BV12" i="1"/>
  <c r="BX12" i="1"/>
  <c r="BZ12" i="1"/>
  <c r="NS12" i="1"/>
  <c r="AV13" i="1"/>
  <c r="AX13" i="1"/>
  <c r="AZ13" i="1"/>
  <c r="BR13" i="1"/>
  <c r="BT13" i="1"/>
  <c r="BV13" i="1"/>
  <c r="BX13" i="1"/>
  <c r="BZ13" i="1"/>
  <c r="NS13" i="1"/>
  <c r="AV14" i="1"/>
  <c r="AX14" i="1"/>
  <c r="AZ14" i="1"/>
  <c r="BR14" i="1"/>
  <c r="BT14" i="1"/>
  <c r="BV14" i="1"/>
  <c r="BX14" i="1"/>
  <c r="BZ14" i="1"/>
  <c r="NS14" i="1"/>
  <c r="AV15" i="1"/>
  <c r="AX15" i="1"/>
  <c r="AZ15" i="1"/>
  <c r="BR15" i="1"/>
  <c r="BT15" i="1"/>
  <c r="BV15" i="1"/>
  <c r="BX15" i="1"/>
  <c r="BZ15" i="1"/>
  <c r="NS15" i="1"/>
  <c r="AV16" i="1"/>
  <c r="AX16" i="1"/>
  <c r="AZ16" i="1"/>
  <c r="BR16" i="1"/>
  <c r="BT16" i="1"/>
  <c r="BV16" i="1"/>
  <c r="BX16" i="1"/>
  <c r="BZ16" i="1"/>
  <c r="NS16" i="1"/>
  <c r="AV17" i="1"/>
  <c r="AX17" i="1"/>
  <c r="AZ17" i="1"/>
  <c r="BR17" i="1"/>
  <c r="BT17" i="1"/>
  <c r="BV17" i="1"/>
  <c r="BX17" i="1"/>
  <c r="BZ17" i="1"/>
  <c r="NS17" i="1"/>
  <c r="AV3" i="1"/>
  <c r="AX3" i="1"/>
  <c r="AZ3" i="1"/>
  <c r="BR3" i="1"/>
  <c r="BT3" i="1"/>
  <c r="BV3" i="1"/>
  <c r="BX3" i="1"/>
  <c r="BZ3" i="1"/>
  <c r="NS3" i="1"/>
  <c r="DR4" i="1"/>
  <c r="AD4" i="1"/>
  <c r="DR5" i="1"/>
  <c r="AD5" i="1"/>
  <c r="DR6" i="1"/>
  <c r="AD6" i="1"/>
  <c r="DR7" i="1"/>
  <c r="AD7" i="1"/>
  <c r="DR8" i="1"/>
  <c r="AD8" i="1"/>
  <c r="DR9" i="1"/>
  <c r="AD9" i="1"/>
  <c r="DR10" i="1"/>
  <c r="AD10" i="1"/>
  <c r="DR11" i="1"/>
  <c r="AD11" i="1"/>
  <c r="DR12" i="1"/>
  <c r="AD12" i="1"/>
  <c r="DR13" i="1"/>
  <c r="AD13" i="1"/>
  <c r="DR14" i="1"/>
  <c r="AD14" i="1"/>
  <c r="DR15" i="1"/>
  <c r="AD15" i="1"/>
  <c r="DR16" i="1"/>
  <c r="AD16" i="1"/>
  <c r="DR17" i="1"/>
  <c r="AD17" i="1"/>
  <c r="AC3" i="1"/>
  <c r="AD3" i="1"/>
  <c r="CF5" i="1"/>
  <c r="CE6" i="1"/>
  <c r="CF6" i="1"/>
  <c r="CE7" i="1"/>
  <c r="CF7" i="1"/>
  <c r="CE8" i="1"/>
  <c r="CF8" i="1"/>
  <c r="CF9" i="1"/>
  <c r="CE10" i="1"/>
  <c r="CF10" i="1"/>
  <c r="CE11" i="1"/>
  <c r="CF11" i="1"/>
  <c r="CE12" i="1"/>
  <c r="CF12" i="1"/>
  <c r="CE13" i="1"/>
  <c r="CF13" i="1"/>
  <c r="CE14" i="1"/>
  <c r="CF14" i="1"/>
  <c r="CF15" i="1"/>
  <c r="CE16" i="1"/>
  <c r="CF16" i="1"/>
  <c r="CE17" i="1"/>
  <c r="CF17" i="1"/>
  <c r="PR5" i="1"/>
  <c r="PR6" i="1"/>
  <c r="PR7" i="1"/>
  <c r="PR8" i="1"/>
  <c r="PR9" i="1"/>
  <c r="PR10" i="1"/>
  <c r="PY5" i="1"/>
  <c r="PY6" i="1"/>
  <c r="PY7" i="1"/>
  <c r="PY8" i="1"/>
  <c r="NR6" i="1"/>
  <c r="NR7" i="1"/>
  <c r="NR9" i="1"/>
  <c r="NR10" i="1"/>
  <c r="NR11" i="1"/>
  <c r="NR13" i="1"/>
  <c r="NR14" i="1"/>
  <c r="NR15" i="1"/>
  <c r="NR16" i="1"/>
  <c r="NR17" i="1"/>
  <c r="NR4" i="1"/>
  <c r="C4" i="4"/>
  <c r="B4" i="4"/>
  <c r="C5" i="4"/>
  <c r="B5" i="4"/>
  <c r="D5" i="4"/>
  <c r="B6" i="4"/>
  <c r="D6" i="4"/>
  <c r="C7" i="4"/>
  <c r="B7" i="4"/>
  <c r="D7" i="4"/>
  <c r="C8" i="4"/>
  <c r="B8" i="4"/>
  <c r="D8" i="4"/>
  <c r="C9" i="4"/>
  <c r="B9" i="4"/>
  <c r="D9" i="4"/>
  <c r="C10" i="4"/>
  <c r="B10" i="4"/>
  <c r="D10" i="4"/>
  <c r="B11" i="4"/>
  <c r="D11" i="4"/>
  <c r="C12" i="4"/>
  <c r="B12" i="4"/>
  <c r="D12" i="4"/>
  <c r="C13" i="4"/>
  <c r="B13" i="4"/>
  <c r="D13" i="4"/>
  <c r="C14" i="4"/>
  <c r="B14" i="4"/>
  <c r="D14" i="4"/>
  <c r="C15" i="4"/>
  <c r="B15" i="4"/>
  <c r="D15" i="4"/>
  <c r="C16" i="4"/>
  <c r="B16" i="4"/>
  <c r="D16" i="4"/>
  <c r="B17" i="4"/>
  <c r="D17" i="4"/>
  <c r="C18" i="4"/>
  <c r="B18" i="4"/>
  <c r="D18" i="4"/>
  <c r="C19" i="4"/>
  <c r="B19" i="4"/>
  <c r="D19" i="4"/>
  <c r="C20" i="4"/>
  <c r="B20" i="4"/>
  <c r="D20" i="4"/>
  <c r="C21" i="4"/>
  <c r="B21" i="4"/>
  <c r="D21" i="4"/>
  <c r="C22" i="4"/>
  <c r="B22" i="4"/>
  <c r="D22" i="4"/>
  <c r="B23" i="4"/>
  <c r="D23" i="4"/>
  <c r="C24" i="4"/>
  <c r="B24" i="4"/>
  <c r="D24" i="4"/>
  <c r="C25" i="4"/>
  <c r="B25" i="4"/>
  <c r="D25" i="4"/>
  <c r="C26" i="4"/>
  <c r="B26" i="4"/>
  <c r="D26" i="4"/>
  <c r="C27" i="4"/>
  <c r="B27" i="4"/>
  <c r="D27" i="4"/>
  <c r="C28" i="4"/>
  <c r="B28" i="4"/>
  <c r="D28" i="4"/>
  <c r="C29" i="4"/>
  <c r="B29" i="4"/>
  <c r="D29" i="4"/>
  <c r="C30" i="4"/>
  <c r="B30" i="4"/>
  <c r="D30" i="4"/>
  <c r="C31" i="4"/>
  <c r="B31" i="4"/>
  <c r="D31" i="4"/>
  <c r="C32" i="4"/>
  <c r="B32" i="4"/>
  <c r="D32" i="4"/>
  <c r="C33" i="4"/>
  <c r="B33" i="4"/>
  <c r="D33" i="4"/>
  <c r="C34" i="4"/>
  <c r="B34" i="4"/>
  <c r="D34" i="4"/>
  <c r="C35" i="4"/>
  <c r="B35" i="4"/>
  <c r="D35" i="4"/>
  <c r="D4" i="4"/>
  <c r="L4" i="4"/>
  <c r="AE4" i="1"/>
  <c r="L5" i="4"/>
  <c r="AE5" i="1"/>
  <c r="L6" i="4"/>
  <c r="AE6" i="1"/>
  <c r="L7" i="4"/>
  <c r="AE7" i="1"/>
  <c r="L8" i="4"/>
  <c r="AE8" i="1"/>
  <c r="L9" i="4"/>
  <c r="AE9" i="1"/>
  <c r="L10" i="4"/>
  <c r="AE10" i="1"/>
  <c r="L11" i="4"/>
  <c r="AE11" i="1"/>
  <c r="L12" i="4"/>
  <c r="AE12" i="1"/>
  <c r="L13" i="4"/>
  <c r="AE13" i="1"/>
  <c r="L14" i="4"/>
  <c r="AE14" i="1"/>
  <c r="L15" i="4"/>
  <c r="AE15" i="1"/>
  <c r="L16" i="4"/>
  <c r="AE16" i="1"/>
  <c r="L17" i="4"/>
  <c r="AE17" i="1"/>
  <c r="L18" i="4"/>
  <c r="J18" i="4"/>
  <c r="K18" i="4"/>
  <c r="J13" i="4"/>
  <c r="K13" i="4"/>
  <c r="J14" i="4"/>
  <c r="K14" i="4"/>
  <c r="J15" i="4"/>
  <c r="K15" i="4"/>
  <c r="J16" i="4"/>
  <c r="K16" i="4"/>
  <c r="J17" i="4"/>
  <c r="K17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K4" i="4"/>
  <c r="J4" i="4"/>
  <c r="CQ4" i="1"/>
  <c r="CS4" i="1"/>
  <c r="CQ5" i="1"/>
  <c r="CS5" i="1"/>
  <c r="CQ6" i="1"/>
  <c r="CS6" i="1"/>
  <c r="CQ7" i="1"/>
  <c r="CS7" i="1"/>
  <c r="CQ8" i="1"/>
  <c r="CS8" i="1"/>
  <c r="CQ9" i="1"/>
  <c r="CS9" i="1"/>
  <c r="CS10" i="1"/>
  <c r="CQ11" i="1"/>
  <c r="CS11" i="1"/>
  <c r="CQ12" i="1"/>
  <c r="CS12" i="1"/>
  <c r="CS13" i="1"/>
  <c r="CQ14" i="1"/>
  <c r="CS14" i="1"/>
  <c r="CQ15" i="1"/>
  <c r="CS15" i="1"/>
  <c r="CS16" i="1"/>
  <c r="CQ17" i="1"/>
  <c r="CS17" i="1"/>
  <c r="CQ3" i="1"/>
  <c r="CS3" i="1"/>
  <c r="CR4" i="1"/>
  <c r="CR5" i="1"/>
  <c r="CR6" i="1"/>
  <c r="CR7" i="1"/>
  <c r="CR8" i="1"/>
  <c r="CR9" i="1"/>
  <c r="CR10" i="1"/>
  <c r="CR11" i="1"/>
  <c r="CR12" i="1"/>
  <c r="CR13" i="1"/>
  <c r="CR14" i="1"/>
  <c r="CR15" i="1"/>
  <c r="CR16" i="1"/>
  <c r="CR17" i="1"/>
  <c r="CR3" i="1"/>
  <c r="GH23" i="1"/>
  <c r="CK4" i="1"/>
  <c r="CL4" i="1"/>
  <c r="CM4" i="1"/>
  <c r="CL5" i="1"/>
  <c r="CM5" i="1"/>
  <c r="CK6" i="1"/>
  <c r="CL6" i="1"/>
  <c r="CM6" i="1"/>
  <c r="CK7" i="1"/>
  <c r="CL7" i="1"/>
  <c r="CM7" i="1"/>
  <c r="CK8" i="1"/>
  <c r="CL8" i="1"/>
  <c r="CM8" i="1"/>
  <c r="CK9" i="1"/>
  <c r="CL9" i="1"/>
  <c r="CM9" i="1"/>
  <c r="CL10" i="1"/>
  <c r="CM10" i="1"/>
  <c r="CK11" i="1"/>
  <c r="CL11" i="1"/>
  <c r="CM11" i="1"/>
  <c r="CK12" i="1"/>
  <c r="CL12" i="1"/>
  <c r="CM12" i="1"/>
  <c r="CK13" i="1"/>
  <c r="CL13" i="1"/>
  <c r="CM13" i="1"/>
  <c r="CK14" i="1"/>
  <c r="CL14" i="1"/>
  <c r="CM14" i="1"/>
  <c r="CK15" i="1"/>
  <c r="CL15" i="1"/>
  <c r="CM15" i="1"/>
  <c r="CL16" i="1"/>
  <c r="CM16" i="1"/>
  <c r="CK17" i="1"/>
  <c r="CL17" i="1"/>
  <c r="CM17" i="1"/>
  <c r="CK3" i="1"/>
  <c r="CM3" i="1"/>
  <c r="CL3" i="1"/>
  <c r="CE4" i="1"/>
  <c r="CG4" i="1"/>
  <c r="CG5" i="1"/>
  <c r="CG6" i="1"/>
  <c r="CG7" i="1"/>
  <c r="CG8" i="1"/>
  <c r="CG9" i="1"/>
  <c r="CG10" i="1"/>
  <c r="CG11" i="1"/>
  <c r="CG12" i="1"/>
  <c r="CG13" i="1"/>
  <c r="CG14" i="1"/>
  <c r="CG15" i="1"/>
  <c r="CG16" i="1"/>
  <c r="CG17" i="1"/>
  <c r="CE3" i="1"/>
  <c r="CG3" i="1"/>
  <c r="CF3" i="1"/>
  <c r="CF4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3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BN3" i="1"/>
  <c r="BN4" i="1"/>
  <c r="BN5" i="1"/>
  <c r="BN6" i="1"/>
  <c r="BN7" i="1"/>
  <c r="BN8" i="1"/>
  <c r="BN9" i="1"/>
  <c r="BN10" i="1"/>
  <c r="BN11" i="1"/>
  <c r="BN12" i="1"/>
  <c r="BN13" i="1"/>
  <c r="BN14" i="1"/>
  <c r="BN15" i="1"/>
  <c r="BN16" i="1"/>
  <c r="BN17" i="1"/>
</calcChain>
</file>

<file path=xl/sharedStrings.xml><?xml version="1.0" encoding="utf-8"?>
<sst xmlns="http://schemas.openxmlformats.org/spreadsheetml/2006/main" count="1346" uniqueCount="455">
  <si>
    <t>commandCenter</t>
  </si>
  <si>
    <t>crystaliteSilo</t>
  </si>
  <si>
    <t>crystaliteFarm</t>
  </si>
  <si>
    <t>adamantiteStorage</t>
  </si>
  <si>
    <t>adamantiteMine</t>
  </si>
  <si>
    <t>titaniumStorage</t>
  </si>
  <si>
    <t>titaniumLab</t>
  </si>
  <si>
    <t>craftPad</t>
  </si>
  <si>
    <t>laboratory</t>
  </si>
  <si>
    <t>vault</t>
  </si>
  <si>
    <t>sentryGun</t>
  </si>
  <si>
    <t>machineGun</t>
  </si>
  <si>
    <t>rocketGun</t>
  </si>
  <si>
    <t>Level</t>
  </si>
  <si>
    <t>Ad. Price</t>
  </si>
  <si>
    <t>Ti. Price</t>
  </si>
  <si>
    <t>upTime</t>
  </si>
  <si>
    <t>XP Gain</t>
  </si>
  <si>
    <t>Cr. Store</t>
  </si>
  <si>
    <t>Ad. Store</t>
  </si>
  <si>
    <t>Ti. Store</t>
  </si>
  <si>
    <t>Cr. Farm</t>
  </si>
  <si>
    <t>Cr. Max</t>
  </si>
  <si>
    <t>Ad. Farm</t>
  </si>
  <si>
    <t>Ad. Max</t>
  </si>
  <si>
    <t>Troops</t>
  </si>
  <si>
    <t>level</t>
  </si>
  <si>
    <t>radar</t>
  </si>
  <si>
    <t>garbage</t>
  </si>
  <si>
    <t>rocketBot</t>
  </si>
  <si>
    <t>fregat</t>
  </si>
  <si>
    <t>collector</t>
  </si>
  <si>
    <t>weather</t>
  </si>
  <si>
    <t>bots</t>
  </si>
  <si>
    <t>recoveryBots</t>
  </si>
  <si>
    <t>defPlatform</t>
  </si>
  <si>
    <t>electronic</t>
  </si>
  <si>
    <t>total</t>
  </si>
  <si>
    <t>inc</t>
  </si>
  <si>
    <t>Summary</t>
  </si>
  <si>
    <t>Cr.Farm</t>
  </si>
  <si>
    <t>Cr.Store</t>
  </si>
  <si>
    <t>Ad.Farm</t>
  </si>
  <si>
    <t>Ad.Store</t>
  </si>
  <si>
    <t>Cr.Max</t>
  </si>
  <si>
    <t>Ad.Max</t>
  </si>
  <si>
    <t>Cr.Visits</t>
  </si>
  <si>
    <t>Cr.FillMax</t>
  </si>
  <si>
    <t>Ad.Visits</t>
  </si>
  <si>
    <t>Ad.FillMax</t>
  </si>
  <si>
    <t>Ti.Farm</t>
  </si>
  <si>
    <t>Ti.Store</t>
  </si>
  <si>
    <t>Ti.Max</t>
  </si>
  <si>
    <t>Ti.Visits</t>
  </si>
  <si>
    <t>Ti.FillMax</t>
  </si>
  <si>
    <t>Ti. Farm</t>
  </si>
  <si>
    <t>Ti. Max</t>
  </si>
  <si>
    <t>Energy</t>
  </si>
  <si>
    <t>Has</t>
  </si>
  <si>
    <t>Adamant</t>
  </si>
  <si>
    <t>Store Size</t>
  </si>
  <si>
    <t>Farm</t>
  </si>
  <si>
    <t>Max.Farm</t>
  </si>
  <si>
    <t>Max. Hours</t>
  </si>
  <si>
    <t>Crystal</t>
  </si>
  <si>
    <t>Titan</t>
  </si>
  <si>
    <t>Ad.P.%</t>
  </si>
  <si>
    <t>Price</t>
  </si>
  <si>
    <t>Ti.P.%</t>
  </si>
  <si>
    <t>Exp</t>
  </si>
  <si>
    <t>Default</t>
  </si>
  <si>
    <t>Xp Gain</t>
  </si>
  <si>
    <t>Collect</t>
  </si>
  <si>
    <t>Total Collected</t>
  </si>
  <si>
    <t>exp</t>
  </si>
  <si>
    <t>reward</t>
  </si>
  <si>
    <t>initial</t>
  </si>
  <si>
    <t>coof</t>
  </si>
  <si>
    <t>grow</t>
  </si>
  <si>
    <t>Req. En</t>
  </si>
  <si>
    <t>Gen. En</t>
  </si>
  <si>
    <t>Total Gen</t>
  </si>
  <si>
    <t>En</t>
  </si>
  <si>
    <t>Gen</t>
  </si>
  <si>
    <t>Ti</t>
  </si>
  <si>
    <t>Res</t>
  </si>
  <si>
    <t>War</t>
  </si>
  <si>
    <t>CC</t>
  </si>
  <si>
    <t>crystalyteAnalys</t>
  </si>
  <si>
    <t>adamantAnalyse</t>
  </si>
  <si>
    <t>titanAnalys</t>
  </si>
  <si>
    <t>lvlReq</t>
  </si>
  <si>
    <t>IncrExp</t>
  </si>
  <si>
    <t>flagman</t>
  </si>
  <si>
    <t>Coof.Time</t>
  </si>
  <si>
    <t>Coof.Ad.Res</t>
  </si>
  <si>
    <t>Coof.Ti.Res</t>
  </si>
  <si>
    <t>Coof.Cr.Res</t>
  </si>
  <si>
    <t>say-history</t>
  </si>
  <si>
    <t>correct-sentence</t>
  </si>
  <si>
    <t>house-password</t>
  </si>
  <si>
    <t>Mission.1</t>
  </si>
  <si>
    <t>Mission.2</t>
  </si>
  <si>
    <t>Extra.Cr.Store.1</t>
  </si>
  <si>
    <t>most-wanted-letter</t>
  </si>
  <si>
    <t>Extra.Cr.Store.2</t>
  </si>
  <si>
    <t>Extra.Cr.Farm.1</t>
  </si>
  <si>
    <t>non-unique-elements</t>
  </si>
  <si>
    <t>monkey-typing</t>
  </si>
  <si>
    <t>Extra.Cr.Max.1</t>
  </si>
  <si>
    <t>cXP.1</t>
  </si>
  <si>
    <t>LReq.1</t>
  </si>
  <si>
    <t>cXP.2</t>
  </si>
  <si>
    <t>LReq.2</t>
  </si>
  <si>
    <t>K</t>
  </si>
  <si>
    <t>related to storage buildings</t>
  </si>
  <si>
    <t>Etalon</t>
  </si>
  <si>
    <t>Related to Farm capacity</t>
  </si>
  <si>
    <t>related to minimal price</t>
  </si>
  <si>
    <t>related to farm</t>
  </si>
  <si>
    <t>related to adamantite farm</t>
  </si>
  <si>
    <t>related to adamantite max</t>
  </si>
  <si>
    <t>Bt.Size</t>
  </si>
  <si>
    <t>A</t>
  </si>
  <si>
    <t>Bt.Cr.Farm</t>
  </si>
  <si>
    <t>Full.Bt.Size</t>
  </si>
  <si>
    <t>Total.Bt.Req</t>
  </si>
  <si>
    <t>Bt.Building</t>
  </si>
  <si>
    <t>Bt.Ad.Farm</t>
  </si>
  <si>
    <t>Bt.Ti.Farm</t>
  </si>
  <si>
    <t>Bt.Research</t>
  </si>
  <si>
    <t>Bt.Space</t>
  </si>
  <si>
    <t>coin</t>
  </si>
  <si>
    <t>crystalite</t>
  </si>
  <si>
    <t>adamantite</t>
  </si>
  <si>
    <t>mine</t>
  </si>
  <si>
    <t>max.infantryBot</t>
  </si>
  <si>
    <t>max.rocketBot</t>
  </si>
  <si>
    <t>max.heavyBot</t>
  </si>
  <si>
    <t>heavyBot</t>
  </si>
  <si>
    <t>infantryBot</t>
  </si>
  <si>
    <t>cards</t>
  </si>
  <si>
    <t>0h 10m</t>
  </si>
  <si>
    <t>0h 20m</t>
  </si>
  <si>
    <t>0h 30m</t>
  </si>
  <si>
    <t>0h 40m</t>
  </si>
  <si>
    <t>0h 50m</t>
  </si>
  <si>
    <t>1h 0m</t>
  </si>
  <si>
    <t>1h 10m</t>
  </si>
  <si>
    <t>name</t>
  </si>
  <si>
    <t>parameter</t>
  </si>
  <si>
    <t>amount</t>
  </si>
  <si>
    <t>titanium</t>
  </si>
  <si>
    <t>chest_1</t>
  </si>
  <si>
    <t>chest_2</t>
  </si>
  <si>
    <t>chest_3</t>
  </si>
  <si>
    <t>collectedCrystalite</t>
  </si>
  <si>
    <t>collectedCrystaliteL1</t>
  </si>
  <si>
    <t>collectedAdamantiteL2</t>
  </si>
  <si>
    <t>chest_c1</t>
  </si>
  <si>
    <t>chest_c2</t>
  </si>
  <si>
    <t>chest_c3</t>
  </si>
  <si>
    <t>totalBuildings</t>
  </si>
  <si>
    <t>totalBuildingsL1</t>
  </si>
  <si>
    <t>collectedCrystaliteL2</t>
  </si>
  <si>
    <t>collectedAdamantiteL1</t>
  </si>
  <si>
    <t>commandCenterL1</t>
  </si>
  <si>
    <t>parent</t>
  </si>
  <si>
    <t>collectedAdamantite</t>
  </si>
  <si>
    <t>buildingsTotal</t>
  </si>
  <si>
    <t>commandCenterLevel</t>
  </si>
  <si>
    <t>lvl</t>
  </si>
  <si>
    <t>translate</t>
  </si>
  <si>
    <t>totalBuildingsL2</t>
  </si>
  <si>
    <t>totalBuildingsL3</t>
  </si>
  <si>
    <t>commandCenterL2</t>
  </si>
  <si>
    <t>commandCenterL3</t>
  </si>
  <si>
    <t>commandCenterL4</t>
  </si>
  <si>
    <t>commandCenterL5</t>
  </si>
  <si>
    <t>collectTitaniumL1</t>
  </si>
  <si>
    <t>collectedTitanium</t>
  </si>
  <si>
    <t>collectTitaniumL2</t>
  </si>
  <si>
    <t>collectedCrystaliteL3</t>
  </si>
  <si>
    <t>collectedAdamantiteL3</t>
  </si>
  <si>
    <t>storageCrystalite</t>
  </si>
  <si>
    <t>storageCrystaliteL1</t>
  </si>
  <si>
    <t>storageCrystaliteL2</t>
  </si>
  <si>
    <t>storageCrystaliteL3</t>
  </si>
  <si>
    <t>storageAdamantiteL1</t>
  </si>
  <si>
    <t>storageAdamantite</t>
  </si>
  <si>
    <t>storageAdamantiteL2</t>
  </si>
  <si>
    <t>storageAdamantiteL3</t>
  </si>
  <si>
    <t>storageTitaniumL1</t>
  </si>
  <si>
    <t>storageTitanium</t>
  </si>
  <si>
    <t>storageTitaniumL2</t>
  </si>
  <si>
    <t>storageTitaniumL3</t>
  </si>
  <si>
    <t>totalBotsL1</t>
  </si>
  <si>
    <t>totalBots</t>
  </si>
  <si>
    <t>totalBotsL2</t>
  </si>
  <si>
    <t>totalBotsL3</t>
  </si>
  <si>
    <t>laboratoryL1</t>
  </si>
  <si>
    <t>laboratoryLevel</t>
  </si>
  <si>
    <t>laboratoryL2</t>
  </si>
  <si>
    <t>laboratoryL3</t>
  </si>
  <si>
    <t>totalGenEnergyL1</t>
  </si>
  <si>
    <t>totalGenEnergyL2</t>
  </si>
  <si>
    <t>totalGenEnergyL3</t>
  </si>
  <si>
    <t>totalGenEnergy</t>
  </si>
  <si>
    <t>totalMinesL1</t>
  </si>
  <si>
    <t>totalMines</t>
  </si>
  <si>
    <t>totalMinesL2</t>
  </si>
  <si>
    <t>totalMinesL3</t>
  </si>
  <si>
    <t>totalDef</t>
  </si>
  <si>
    <t>totalDefL1</t>
  </si>
  <si>
    <t>totalDefL2</t>
  </si>
  <si>
    <t>totalDefL3</t>
  </si>
  <si>
    <t>solvedMissions</t>
  </si>
  <si>
    <t>solvedMissionsL1</t>
  </si>
  <si>
    <t>solvedMissionsL2</t>
  </si>
  <si>
    <t>solvedMissionsL3</t>
  </si>
  <si>
    <t>solvedMissionsL4</t>
  </si>
  <si>
    <t>solvedMissionsL5</t>
  </si>
  <si>
    <t>solvedMissionsL6</t>
  </si>
  <si>
    <t>solvedMissionsL7</t>
  </si>
  <si>
    <t>solvedMissionsL8</t>
  </si>
  <si>
    <t>solvedMissionsL9</t>
  </si>
  <si>
    <t>solvedMissionsL10</t>
  </si>
  <si>
    <t>shortTime</t>
  </si>
  <si>
    <t>shortPrice</t>
  </si>
  <si>
    <t>st.lvl1</t>
  </si>
  <si>
    <t>st.lvl2</t>
  </si>
  <si>
    <t>st.lvl3</t>
  </si>
  <si>
    <t>longTime</t>
  </si>
  <si>
    <t>General</t>
  </si>
  <si>
    <t>lvl1</t>
  </si>
  <si>
    <t>cr.min</t>
  </si>
  <si>
    <t>cr.max</t>
  </si>
  <si>
    <t>ad.min</t>
  </si>
  <si>
    <t>ad.max</t>
  </si>
  <si>
    <t>cr.pos</t>
  </si>
  <si>
    <t>ad.pos</t>
  </si>
  <si>
    <t>ti.pos</t>
  </si>
  <si>
    <t>ti.min</t>
  </si>
  <si>
    <t>ti.max</t>
  </si>
  <si>
    <t>bot.pos</t>
  </si>
  <si>
    <t>bot.min</t>
  </si>
  <si>
    <t>bot.max</t>
  </si>
  <si>
    <t>coin.pos</t>
  </si>
  <si>
    <t>coin.min</t>
  </si>
  <si>
    <t>coin.max</t>
  </si>
  <si>
    <t>infantryBot.pos</t>
  </si>
  <si>
    <t>infantryBot.min</t>
  </si>
  <si>
    <t>infantryBot.max</t>
  </si>
  <si>
    <t>rocketBot.pos</t>
  </si>
  <si>
    <t>rocketBot.min</t>
  </si>
  <si>
    <t>rocketBot.max</t>
  </si>
  <si>
    <t>heavyBot.pos</t>
  </si>
  <si>
    <t>heavyBot.min</t>
  </si>
  <si>
    <t>heavyBot.max</t>
  </si>
  <si>
    <t>lvl2</t>
  </si>
  <si>
    <t>lvl3</t>
  </si>
  <si>
    <t>st.codingPos</t>
  </si>
  <si>
    <t>lt.codingPos</t>
  </si>
  <si>
    <t>longPrice</t>
  </si>
  <si>
    <t>lt.lvl1</t>
  </si>
  <si>
    <t>lt.lvl2</t>
  </si>
  <si>
    <t>lt.lvl3</t>
  </si>
  <si>
    <t>Bt.Dec.Time</t>
  </si>
  <si>
    <t>time</t>
  </si>
  <si>
    <t>res</t>
  </si>
  <si>
    <t>best-stock</t>
  </si>
  <si>
    <t>multiply-intro</t>
  </si>
  <si>
    <t>binary-count</t>
  </si>
  <si>
    <t>follow-instructions</t>
  </si>
  <si>
    <t>conversion-into-camelcase</t>
  </si>
  <si>
    <t>easy-unpack</t>
  </si>
  <si>
    <t>middle-characters</t>
  </si>
  <si>
    <t>all-the-same</t>
  </si>
  <si>
    <t>index-power</t>
  </si>
  <si>
    <t>pangram</t>
  </si>
  <si>
    <t>digits-multiplication</t>
  </si>
  <si>
    <t>secret-message</t>
  </si>
  <si>
    <t>conversion-from-camelcase</t>
  </si>
  <si>
    <t>skew-symmetric-matrix</t>
  </si>
  <si>
    <t>fizz-buzz</t>
  </si>
  <si>
    <t>morse-encoder</t>
  </si>
  <si>
    <t>unlucky-days</t>
  </si>
  <si>
    <t>letter-queue</t>
  </si>
  <si>
    <t>count-inversions</t>
  </si>
  <si>
    <t>worth-of-words</t>
  </si>
  <si>
    <t>the-highest-building</t>
  </si>
  <si>
    <t>even-last</t>
  </si>
  <si>
    <t>achilles-tortoise</t>
  </si>
  <si>
    <t>median</t>
  </si>
  <si>
    <t>right-to-left</t>
  </si>
  <si>
    <t>word-pattern</t>
  </si>
  <si>
    <t>restricted-sum</t>
  </si>
  <si>
    <t>simple-areas</t>
  </si>
  <si>
    <t>multicolored-lamp</t>
  </si>
  <si>
    <t>boolean-algebra</t>
  </si>
  <si>
    <t>solution-for-anything</t>
  </si>
  <si>
    <t>cut-sentence</t>
  </si>
  <si>
    <t>common-words</t>
  </si>
  <si>
    <t>weak-point</t>
  </si>
  <si>
    <t>end-of-other</t>
  </si>
  <si>
    <t>group-equal-consecutive</t>
  </si>
  <si>
    <t>second-index</t>
  </si>
  <si>
    <t>absolute-sorting</t>
  </si>
  <si>
    <t>most-numbers</t>
  </si>
  <si>
    <t>digit-stack</t>
  </si>
  <si>
    <t>determinant</t>
  </si>
  <si>
    <t>days-diff</t>
  </si>
  <si>
    <t>verify-anagrams</t>
  </si>
  <si>
    <t>when-is-friday</t>
  </si>
  <si>
    <t>the-ship-teams</t>
  </si>
  <si>
    <t>morse-decoder</t>
  </si>
  <si>
    <t>first-word</t>
  </si>
  <si>
    <t>3-chefs</t>
  </si>
  <si>
    <t>three-words</t>
  </si>
  <si>
    <t>bigger-price</t>
  </si>
  <si>
    <t>time-converter-12h-to-24h</t>
  </si>
  <si>
    <t>time-converter-24h-to-12h</t>
  </si>
  <si>
    <t>popular-words</t>
  </si>
  <si>
    <t>weekend-counter</t>
  </si>
  <si>
    <t>hamming-distance2</t>
  </si>
  <si>
    <t>bird-language</t>
  </si>
  <si>
    <t>parity-bit-generator</t>
  </si>
  <si>
    <t>area-of-a-convex-polygon</t>
  </si>
  <si>
    <t>super-root</t>
  </si>
  <si>
    <t>sun-angle</t>
  </si>
  <si>
    <t>good-radix</t>
  </si>
  <si>
    <t>count-consecutive-summers</t>
  </si>
  <si>
    <t>reverse-roman-numerals</t>
  </si>
  <si>
    <t>long-repeat</t>
  </si>
  <si>
    <t>building-base</t>
  </si>
  <si>
    <t>remove-accents</t>
  </si>
  <si>
    <t>the-stone-wall</t>
  </si>
  <si>
    <t>between-markers</t>
  </si>
  <si>
    <t>loading-cargo</t>
  </si>
  <si>
    <t>auto-painting</t>
  </si>
  <si>
    <t>date-and-time-converter</t>
  </si>
  <si>
    <t>the-fastest-horse</t>
  </si>
  <si>
    <t>flatten-list</t>
  </si>
  <si>
    <t>matrix-pattern</t>
  </si>
  <si>
    <t>ghosts-age</t>
  </si>
  <si>
    <t>node-subnetworks</t>
  </si>
  <si>
    <t>gcd</t>
  </si>
  <si>
    <t>caesar-cipher-encryptor</t>
  </si>
  <si>
    <t>rotate-hole</t>
  </si>
  <si>
    <t>brackets</t>
  </si>
  <si>
    <t>roman-numerals</t>
  </si>
  <si>
    <t>the-longest-palindromic</t>
  </si>
  <si>
    <t>the-most-frequent-weekdays</t>
  </si>
  <si>
    <t>double-substring</t>
  </si>
  <si>
    <t>stair-steps</t>
  </si>
  <si>
    <t>min-max</t>
  </si>
  <si>
    <t>humpty-dumpty</t>
  </si>
  <si>
    <t>triangle-angles</t>
  </si>
  <si>
    <t>x-o-referee</t>
  </si>
  <si>
    <t>speechmodule</t>
  </si>
  <si>
    <t>create-intervals</t>
  </si>
  <si>
    <t>box-probability</t>
  </si>
  <si>
    <t>every-person-is-unique</t>
  </si>
  <si>
    <t>long-non-repeat</t>
  </si>
  <si>
    <t>largest-histogram</t>
  </si>
  <si>
    <t>feed-pigeons</t>
  </si>
  <si>
    <t>multiplication-table</t>
  </si>
  <si>
    <t>bag-of-santa-claus</t>
  </si>
  <si>
    <t>counting-tiles</t>
  </si>
  <si>
    <t>comp_funcs</t>
  </si>
  <si>
    <t>stressful-subject</t>
  </si>
  <si>
    <t>flatten-dict</t>
  </si>
  <si>
    <t>pawn-brotherhood</t>
  </si>
  <si>
    <t>Req Missions</t>
  </si>
  <si>
    <t>stick-sawing</t>
  </si>
  <si>
    <t>check-digit</t>
  </si>
  <si>
    <t>striped-words</t>
  </si>
  <si>
    <t>sort-array-by-element-frequency</t>
  </si>
  <si>
    <t>calls-home</t>
  </si>
  <si>
    <t>hidden-word</t>
  </si>
  <si>
    <t>friends</t>
  </si>
  <si>
    <t>compass-map-and-spyglass</t>
  </si>
  <si>
    <t>digits-doublets</t>
  </si>
  <si>
    <t>morse-clock</t>
  </si>
  <si>
    <t>node-crucial</t>
  </si>
  <si>
    <t>number-factory</t>
  </si>
  <si>
    <t>completely-empty</t>
  </si>
  <si>
    <t>cipher-map2</t>
  </si>
  <si>
    <t>long-repeat-inside</t>
  </si>
  <si>
    <t>safe-code</t>
  </si>
  <si>
    <t>ground-for-the-house</t>
  </si>
  <si>
    <t>find-sequence</t>
  </si>
  <si>
    <t>find-friends</t>
  </si>
  <si>
    <t>probably-dice</t>
  </si>
  <si>
    <t>network-attack</t>
  </si>
  <si>
    <t>painting-wall</t>
  </si>
  <si>
    <t>the-square-chest</t>
  </si>
  <si>
    <t>gate-puzzles</t>
  </si>
  <si>
    <t>making-change</t>
  </si>
  <si>
    <t>node-disconnected-users2</t>
  </si>
  <si>
    <t>identify-block</t>
  </si>
  <si>
    <t>friendly-number</t>
  </si>
  <si>
    <t>ip-network-route-summarization</t>
  </si>
  <si>
    <t>disposable-teleports</t>
  </si>
  <si>
    <t>wrong-family</t>
  </si>
  <si>
    <t>seven-segment</t>
  </si>
  <si>
    <t>three-points-circle</t>
  </si>
  <si>
    <t>amsco-cipher</t>
  </si>
  <si>
    <t>treasures</t>
  </si>
  <si>
    <t>keys-and-locks</t>
  </si>
  <si>
    <t>wild-dogs</t>
  </si>
  <si>
    <t>Extra.Ad.Store.1</t>
  </si>
  <si>
    <t>Extra.Ad.Farm.1</t>
  </si>
  <si>
    <t>Extra.Ad.Max.1</t>
  </si>
  <si>
    <t>Extra.Ad.Farm.2</t>
  </si>
  <si>
    <t>Extra.Ad.Max.2</t>
  </si>
  <si>
    <t>Extra.Gen.En.1</t>
  </si>
  <si>
    <t>Extra.Cr.Farm.2</t>
  </si>
  <si>
    <t>Extra.Cr.Max.2</t>
  </si>
  <si>
    <t>Extra.Gen.En.2</t>
  </si>
  <si>
    <t>Mission.3</t>
  </si>
  <si>
    <t>Extra.Ad.Farm.3</t>
  </si>
  <si>
    <t>Extra.Ad.Max.3</t>
  </si>
  <si>
    <t>cXP.3</t>
  </si>
  <si>
    <t>LReq.3</t>
  </si>
  <si>
    <t>Extra.Ad.Store.2</t>
  </si>
  <si>
    <t>Extra.Gen.En.3</t>
  </si>
  <si>
    <t>Extra.Cr.Farm.3</t>
  </si>
  <si>
    <t>Extra.Cr.Max.3</t>
  </si>
  <si>
    <t>Mission.4</t>
  </si>
  <si>
    <t>Extra.Cr.Farm.4</t>
  </si>
  <si>
    <t>Extra.Cr.Max.4</t>
  </si>
  <si>
    <t>cXP.4</t>
  </si>
  <si>
    <t>LReq.4</t>
  </si>
  <si>
    <t>Extra.Ti.Farm.1</t>
  </si>
  <si>
    <t>Extra.Ti.Max.1</t>
  </si>
  <si>
    <t>Extra.Cr.Store.3</t>
  </si>
  <si>
    <t>Extra.Ad.Farm.4</t>
  </si>
  <si>
    <t>Extra.Ad.Max.4</t>
  </si>
  <si>
    <t>Extra.Ti.Farm.2</t>
  </si>
  <si>
    <t>Extra.Ti.Max.2</t>
  </si>
  <si>
    <t>short-string-conversion</t>
  </si>
  <si>
    <t>collectedTitaniumL1</t>
  </si>
  <si>
    <t>collectedTitaniumL2</t>
  </si>
  <si>
    <t>collectedTitaniumL3</t>
  </si>
  <si>
    <t>arr-size</t>
  </si>
  <si>
    <t>find-key</t>
  </si>
  <si>
    <t>gen-arr-zero</t>
  </si>
  <si>
    <t>k</t>
  </si>
  <si>
    <t>fireRange</t>
  </si>
  <si>
    <t>rateOfFire</t>
  </si>
  <si>
    <t>hitPoints</t>
  </si>
  <si>
    <t>damagePerShot</t>
  </si>
  <si>
    <t>demagePerShot</t>
  </si>
  <si>
    <t>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</si>
</sst>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;[Red]#,##0"/>
    <numFmt numFmtId="165" formatCode="0.00000;[Red]0.00000"/>
    <numFmt numFmtId="166" formatCode="0.0%"/>
  </numFmts>
  <fonts count="10" x14ac:knownFonts="1">
    <font>
      <sz val="12"/>
      <color theme="1"/>
      <name val="Calibri"/>
      <family val="2"/>
      <scheme val="minor"/>
    </font>
    <font>
      <sz val="8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 (Body)"/>
    </font>
    <font>
      <sz val="12"/>
      <color rgb="FF000000"/>
      <name val="Calibri"/>
      <family val="2"/>
      <scheme val="minor"/>
    </font>
    <font>
      <sz val="12"/>
      <color rgb="FF000000"/>
      <name val="Lucida Grande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 (Body)"/>
    </font>
    <font>
      <b/>
      <sz val="12"/>
      <color theme="1"/>
      <name val="Calibri (Body)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99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17">
    <xf numFmtId="0" fontId="0" fillId="0" borderId="0" xfId="0"/>
    <xf numFmtId="164" fontId="0" fillId="0" borderId="0" xfId="0" applyNumberFormat="1" applyBorder="1"/>
    <xf numFmtId="0" fontId="0" fillId="0" borderId="0" xfId="0" applyNumberFormat="1" applyBorder="1"/>
    <xf numFmtId="164" fontId="0" fillId="0" borderId="0" xfId="0" applyNumberFormat="1" applyFill="1" applyBorder="1"/>
    <xf numFmtId="164" fontId="0" fillId="0" borderId="1" xfId="0" applyNumberFormat="1" applyBorder="1"/>
    <xf numFmtId="164" fontId="2" fillId="0" borderId="0" xfId="0" applyNumberFormat="1" applyFont="1" applyBorder="1"/>
    <xf numFmtId="164" fontId="0" fillId="0" borderId="0" xfId="0" applyNumberFormat="1" applyBorder="1" applyAlignment="1">
      <alignment horizontal="right"/>
    </xf>
    <xf numFmtId="0" fontId="0" fillId="0" borderId="0" xfId="0" applyNumberFormat="1" applyFill="1" applyBorder="1"/>
    <xf numFmtId="164" fontId="2" fillId="0" borderId="0" xfId="0" applyNumberFormat="1" applyFont="1" applyFill="1" applyBorder="1"/>
    <xf numFmtId="164" fontId="2" fillId="0" borderId="1" xfId="0" applyNumberFormat="1" applyFont="1" applyBorder="1"/>
    <xf numFmtId="164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/>
    <xf numFmtId="0" fontId="0" fillId="0" borderId="1" xfId="0" applyNumberFormat="1" applyBorder="1"/>
    <xf numFmtId="2" fontId="0" fillId="0" borderId="1" xfId="0" applyNumberFormat="1" applyBorder="1"/>
    <xf numFmtId="164" fontId="2" fillId="0" borderId="1" xfId="0" applyNumberFormat="1" applyFont="1" applyFill="1" applyBorder="1"/>
    <xf numFmtId="164" fontId="0" fillId="0" borderId="1" xfId="0" applyNumberFormat="1" applyFill="1" applyBorder="1"/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9" fontId="0" fillId="0" borderId="0" xfId="0" applyNumberFormat="1" applyBorder="1"/>
    <xf numFmtId="9" fontId="0" fillId="0" borderId="0" xfId="0" applyNumberFormat="1" applyFill="1" applyBorder="1"/>
    <xf numFmtId="9" fontId="0" fillId="0" borderId="1" xfId="0" applyNumberFormat="1" applyFill="1" applyBorder="1"/>
    <xf numFmtId="164" fontId="2" fillId="2" borderId="0" xfId="0" applyNumberFormat="1" applyFont="1" applyFill="1" applyBorder="1"/>
    <xf numFmtId="164" fontId="0" fillId="3" borderId="0" xfId="0" applyNumberFormat="1" applyFill="1" applyBorder="1"/>
    <xf numFmtId="164" fontId="0" fillId="0" borderId="0" xfId="0" applyNumberFormat="1" applyFont="1" applyBorder="1"/>
    <xf numFmtId="9" fontId="0" fillId="0" borderId="0" xfId="0" applyNumberFormat="1" applyFont="1" applyBorder="1"/>
    <xf numFmtId="3" fontId="0" fillId="0" borderId="0" xfId="0" applyNumberFormat="1"/>
    <xf numFmtId="164" fontId="0" fillId="0" borderId="0" xfId="0" applyNumberFormat="1" applyFont="1" applyFill="1" applyBorder="1"/>
    <xf numFmtId="164" fontId="0" fillId="0" borderId="1" xfId="0" applyNumberFormat="1" applyFont="1" applyFill="1" applyBorder="1"/>
    <xf numFmtId="164" fontId="0" fillId="0" borderId="1" xfId="0" applyNumberFormat="1" applyFont="1" applyBorder="1"/>
    <xf numFmtId="0" fontId="0" fillId="0" borderId="0" xfId="0" applyNumberFormat="1"/>
    <xf numFmtId="46" fontId="0" fillId="0" borderId="0" xfId="0" applyNumberFormat="1" applyBorder="1" applyAlignment="1">
      <alignment horizontal="right"/>
    </xf>
    <xf numFmtId="46" fontId="0" fillId="0" borderId="0" xfId="0" applyNumberFormat="1" applyFill="1" applyBorder="1" applyAlignment="1">
      <alignment horizontal="right"/>
    </xf>
    <xf numFmtId="46" fontId="0" fillId="0" borderId="1" xfId="0" applyNumberFormat="1" applyBorder="1" applyAlignment="1">
      <alignment horizontal="right"/>
    </xf>
    <xf numFmtId="164" fontId="4" fillId="0" borderId="0" xfId="0" applyNumberFormat="1" applyFon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Font="1" applyFill="1" applyBorder="1"/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2" fillId="0" borderId="0" xfId="0" applyNumberFormat="1" applyFont="1" applyFill="1" applyBorder="1"/>
    <xf numFmtId="0" fontId="2" fillId="0" borderId="0" xfId="0" applyNumberFormat="1" applyFont="1" applyBorder="1"/>
    <xf numFmtId="0" fontId="0" fillId="0" borderId="1" xfId="0" applyNumberFormat="1" applyFill="1" applyBorder="1"/>
    <xf numFmtId="0" fontId="0" fillId="0" borderId="0" xfId="0" applyNumberFormat="1" applyFont="1" applyFill="1" applyBorder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Font="1" applyBorder="1"/>
    <xf numFmtId="9" fontId="0" fillId="0" borderId="0" xfId="0" applyNumberFormat="1" applyFont="1" applyFill="1" applyBorder="1"/>
    <xf numFmtId="9" fontId="0" fillId="0" borderId="1" xfId="0" applyNumberFormat="1" applyFont="1" applyFill="1" applyBorder="1"/>
    <xf numFmtId="0" fontId="2" fillId="0" borderId="0" xfId="0" applyNumberFormat="1" applyFont="1" applyBorder="1" applyAlignment="1">
      <alignment horizontal="right"/>
    </xf>
    <xf numFmtId="0" fontId="0" fillId="0" borderId="1" xfId="0" applyNumberFormat="1" applyFont="1" applyFill="1" applyBorder="1"/>
    <xf numFmtId="164" fontId="2" fillId="0" borderId="0" xfId="0" applyNumberFormat="1" applyFont="1" applyFill="1" applyBorder="1" applyAlignment="1">
      <alignment horizontal="right"/>
    </xf>
    <xf numFmtId="0" fontId="2" fillId="0" borderId="0" xfId="0" applyNumberFormat="1" applyFont="1" applyFill="1" applyBorder="1" applyAlignment="1">
      <alignment horizontal="right"/>
    </xf>
    <xf numFmtId="0" fontId="2" fillId="0" borderId="1" xfId="0" applyNumberFormat="1" applyFont="1" applyFill="1" applyBorder="1"/>
    <xf numFmtId="164" fontId="0" fillId="0" borderId="0" xfId="0" applyNumberFormat="1" applyBorder="1" applyAlignment="1"/>
    <xf numFmtId="164" fontId="3" fillId="0" borderId="0" xfId="0" applyNumberFormat="1" applyFont="1" applyBorder="1" applyAlignment="1"/>
    <xf numFmtId="3" fontId="0" fillId="0" borderId="0" xfId="0" applyNumberFormat="1" applyBorder="1" applyAlignment="1"/>
    <xf numFmtId="3" fontId="3" fillId="0" borderId="0" xfId="0" applyNumberFormat="1" applyFont="1" applyBorder="1" applyAlignment="1"/>
    <xf numFmtId="3" fontId="2" fillId="0" borderId="0" xfId="0" applyNumberFormat="1" applyFont="1"/>
    <xf numFmtId="164" fontId="4" fillId="0" borderId="0" xfId="0" applyNumberFormat="1" applyFon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right"/>
    </xf>
    <xf numFmtId="164" fontId="0" fillId="0" borderId="1" xfId="0" applyNumberFormat="1" applyFill="1" applyBorder="1" applyAlignment="1">
      <alignment horizontal="right"/>
    </xf>
    <xf numFmtId="0" fontId="0" fillId="0" borderId="0" xfId="0" applyNumberFormat="1" applyBorder="1" applyAlignment="1">
      <alignment vertical="top" wrapText="1"/>
    </xf>
    <xf numFmtId="0" fontId="0" fillId="0" borderId="0" xfId="0" applyAlignment="1">
      <alignment horizontal="center"/>
    </xf>
    <xf numFmtId="164" fontId="2" fillId="4" borderId="0" xfId="0" applyNumberFormat="1" applyFont="1" applyFill="1" applyBorder="1"/>
    <xf numFmtId="0" fontId="0" fillId="0" borderId="0" xfId="0" applyNumberFormat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/>
    </xf>
    <xf numFmtId="3" fontId="2" fillId="0" borderId="0" xfId="0" applyNumberFormat="1" applyFont="1" applyAlignment="1">
      <alignment horizontal="right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4" fillId="0" borderId="0" xfId="0" applyFont="1"/>
    <xf numFmtId="3" fontId="4" fillId="0" borderId="0" xfId="0" applyNumberFormat="1" applyFont="1"/>
    <xf numFmtId="164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right"/>
    </xf>
    <xf numFmtId="0" fontId="0" fillId="0" borderId="0" xfId="0" applyNumberFormat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166" fontId="4" fillId="0" borderId="0" xfId="0" applyNumberFormat="1" applyFont="1" applyAlignment="1">
      <alignment horizontal="center"/>
    </xf>
    <xf numFmtId="166" fontId="0" fillId="0" borderId="0" xfId="0" applyNumberFormat="1" applyBorder="1"/>
    <xf numFmtId="166" fontId="0" fillId="0" borderId="0" xfId="0" applyNumberFormat="1" applyFont="1" applyBorder="1"/>
    <xf numFmtId="166" fontId="0" fillId="0" borderId="1" xfId="0" applyNumberFormat="1" applyBorder="1"/>
    <xf numFmtId="0" fontId="4" fillId="0" borderId="0" xfId="0" applyNumberFormat="1" applyFont="1" applyAlignment="1">
      <alignment horizontal="center"/>
    </xf>
    <xf numFmtId="166" fontId="0" fillId="0" borderId="0" xfId="0" applyNumberFormat="1" applyFill="1" applyBorder="1"/>
    <xf numFmtId="166" fontId="2" fillId="0" borderId="0" xfId="0" applyNumberFormat="1" applyFont="1"/>
    <xf numFmtId="166" fontId="0" fillId="0" borderId="0" xfId="0" applyNumberFormat="1"/>
    <xf numFmtId="164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0" fontId="3" fillId="0" borderId="0" xfId="0" applyFont="1" applyFill="1" applyBorder="1" applyAlignment="1"/>
    <xf numFmtId="0" fontId="3" fillId="0" borderId="0" xfId="0" applyFont="1" applyBorder="1"/>
    <xf numFmtId="0" fontId="8" fillId="0" borderId="0" xfId="0" applyFont="1" applyFill="1" applyBorder="1"/>
    <xf numFmtId="0" fontId="3" fillId="3" borderId="0" xfId="0" applyFont="1" applyFill="1" applyBorder="1" applyAlignment="1"/>
    <xf numFmtId="164" fontId="9" fillId="0" borderId="0" xfId="0" applyNumberFormat="1" applyFont="1" applyBorder="1"/>
    <xf numFmtId="0" fontId="8" fillId="3" borderId="0" xfId="0" applyFont="1" applyFill="1" applyBorder="1"/>
    <xf numFmtId="0" fontId="3" fillId="3" borderId="0" xfId="0" applyFont="1" applyFill="1" applyBorder="1"/>
    <xf numFmtId="9" fontId="2" fillId="0" borderId="0" xfId="0" applyNumberFormat="1" applyFont="1" applyBorder="1"/>
    <xf numFmtId="46" fontId="2" fillId="0" borderId="0" xfId="0" applyNumberFormat="1" applyFont="1" applyBorder="1" applyAlignment="1">
      <alignment horizontal="right"/>
    </xf>
    <xf numFmtId="164" fontId="0" fillId="0" borderId="0" xfId="0" applyNumberFormat="1" applyFill="1" applyBorder="1" applyAlignment="1">
      <alignment horizontal="center" vertical="top" wrapText="1"/>
    </xf>
    <xf numFmtId="164" fontId="0" fillId="0" borderId="2" xfId="0" applyNumberFormat="1" applyFill="1" applyBorder="1" applyAlignment="1">
      <alignment horizontal="center" vertical="top" wrapText="1"/>
    </xf>
    <xf numFmtId="0" fontId="0" fillId="0" borderId="0" xfId="0" applyNumberFormat="1" applyBorder="1" applyAlignment="1">
      <alignment horizontal="center" vertical="top" wrapText="1"/>
    </xf>
    <xf numFmtId="0" fontId="0" fillId="0" borderId="2" xfId="0" applyNumberFormat="1" applyBorder="1" applyAlignment="1">
      <alignment horizontal="center" vertical="top" wrapText="1"/>
    </xf>
    <xf numFmtId="9" fontId="0" fillId="0" borderId="0" xfId="0" applyNumberFormat="1" applyFont="1" applyBorder="1" applyAlignment="1">
      <alignment horizontal="center" vertical="top" wrapText="1"/>
    </xf>
    <xf numFmtId="9" fontId="0" fillId="0" borderId="2" xfId="0" applyNumberFormat="1" applyFont="1" applyBorder="1" applyAlignment="1">
      <alignment horizontal="center" vertical="top" wrapText="1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3" fontId="0" fillId="0" borderId="0" xfId="0" applyNumberForma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</cellXfs>
  <cellStyles count="99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Normal" xfId="0" builtinId="0"/>
  </cellStyles>
  <dxfs count="0"/>
  <tableStyles count="0" defaultTableStyle="TableStyleMedium9" defaultPivotStyle="PivotStyleMedium7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63500</xdr:rowOff>
        </xdr:from>
        <xdr:to>
          <xdr:col>2</xdr:col>
          <xdr:colOff>0</xdr:colOff>
          <xdr:row>14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292100</xdr:colOff>
          <xdr:row>0</xdr:row>
          <xdr:rowOff>76200</xdr:rowOff>
        </xdr:from>
        <xdr:to>
          <xdr:col>2</xdr:col>
          <xdr:colOff>0</xdr:colOff>
          <xdr:row>1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63500</xdr:rowOff>
        </xdr:from>
        <xdr:to>
          <xdr:col>2</xdr:col>
          <xdr:colOff>0</xdr:colOff>
          <xdr:row>7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63500</xdr:rowOff>
        </xdr:from>
        <xdr:to>
          <xdr:col>2</xdr:col>
          <xdr:colOff>0</xdr:colOff>
          <xdr:row>14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pageSetUpPr autoPageBreaks="0"/>
  </sheetPr>
  <dimension ref="A1:QB31"/>
  <sheetViews>
    <sheetView workbookViewId="0">
      <pane xSplit="1" topLeftCell="IK1" activePane="topRight" state="frozen"/>
      <selection pane="topRight" activeCell="JA17" sqref="JA17"/>
    </sheetView>
  </sheetViews>
  <sheetFormatPr baseColWidth="10" defaultColWidth="8.33203125" defaultRowHeight="15" x14ac:dyDescent="0"/>
  <cols>
    <col min="1" max="1" width="6.83203125" style="5" customWidth="1"/>
    <col min="2" max="2" width="6.83203125" style="8" customWidth="1"/>
    <col min="3" max="3" width="4" style="28" customWidth="1"/>
    <col min="4" max="5" width="10.5" style="28" customWidth="1"/>
    <col min="6" max="6" width="4.5" style="28" customWidth="1"/>
    <col min="7" max="7" width="10.5" style="28" customWidth="1"/>
    <col min="8" max="8" width="4.5" style="1" customWidth="1"/>
    <col min="9" max="9" width="10" style="1" customWidth="1"/>
    <col min="10" max="10" width="5" style="1" customWidth="1"/>
    <col min="11" max="11" width="10.83203125" style="1" customWidth="1"/>
    <col min="12" max="12" width="14.5" style="32" customWidth="1"/>
    <col min="13" max="13" width="4.6640625" style="32" customWidth="1"/>
    <col min="14" max="15" width="10.6640625" style="2" customWidth="1"/>
    <col min="16" max="16" width="11.6640625" style="1" customWidth="1"/>
    <col min="17" max="17" width="11.83203125" style="1" customWidth="1"/>
    <col min="18" max="18" width="15.5" style="1" customWidth="1"/>
    <col min="19" max="27" width="7.83203125" style="1" customWidth="1"/>
    <col min="28" max="29" width="6.6640625" style="1" customWidth="1"/>
    <col min="30" max="31" width="13" style="1" customWidth="1"/>
    <col min="32" max="32" width="6.6640625" style="1" customWidth="1"/>
    <col min="33" max="33" width="5.6640625" style="1" customWidth="1"/>
    <col min="34" max="34" width="8" style="1" customWidth="1"/>
    <col min="35" max="79" width="5.6640625" style="1" customWidth="1"/>
    <col min="80" max="83" width="12.83203125" style="1" customWidth="1"/>
    <col min="84" max="85" width="12.83203125" style="12" customWidth="1"/>
    <col min="86" max="89" width="12.83203125" style="1" customWidth="1"/>
    <col min="90" max="92" width="12.83203125" style="12" customWidth="1"/>
    <col min="93" max="93" width="10.33203125" style="1" customWidth="1"/>
    <col min="94" max="94" width="11.83203125" style="1" customWidth="1"/>
    <col min="95" max="95" width="10" style="1" customWidth="1"/>
    <col min="96" max="96" width="9.6640625" style="1" customWidth="1"/>
    <col min="97" max="97" width="10.33203125" style="1" customWidth="1"/>
    <col min="98" max="107" width="6.6640625" style="1" customWidth="1"/>
    <col min="108" max="108" width="9.83203125" style="1" customWidth="1"/>
    <col min="109" max="110" width="6.6640625" style="1" customWidth="1"/>
    <col min="111" max="111" width="9.83203125" style="1" customWidth="1"/>
    <col min="112" max="112" width="6.6640625" style="1" customWidth="1"/>
    <col min="113" max="113" width="10" style="1" customWidth="1"/>
    <col min="114" max="114" width="6.6640625" style="1" customWidth="1"/>
    <col min="115" max="115" width="10.83203125" style="1" customWidth="1"/>
    <col min="116" max="117" width="6.6640625" style="1" customWidth="1"/>
    <col min="118" max="120" width="6.6640625" style="5" customWidth="1"/>
    <col min="121" max="122" width="6.6640625" style="25" customWidth="1"/>
    <col min="123" max="123" width="5.1640625" style="25" customWidth="1"/>
    <col min="124" max="124" width="8.83203125" style="25" customWidth="1"/>
    <col min="125" max="125" width="3.1640625" style="47" customWidth="1"/>
    <col min="126" max="126" width="10.33203125" style="1" customWidth="1"/>
    <col min="127" max="127" width="5.83203125" style="20" customWidth="1"/>
    <col min="128" max="128" width="11.1640625" style="1" customWidth="1"/>
    <col min="129" max="129" width="11.6640625" style="20" customWidth="1"/>
    <col min="130" max="130" width="5.1640625" style="2" customWidth="1"/>
    <col min="131" max="131" width="9" style="20" customWidth="1"/>
    <col min="132" max="132" width="4.5" style="26" customWidth="1"/>
    <col min="133" max="134" width="15.6640625" style="1" customWidth="1"/>
    <col min="135" max="136" width="6.6640625" style="5" customWidth="1"/>
    <col min="137" max="137" width="6.6640625" style="43" customWidth="1"/>
    <col min="138" max="139" width="6.6640625" style="25" customWidth="1"/>
    <col min="140" max="140" width="4.33203125" style="47" customWidth="1"/>
    <col min="141" max="141" width="6.6640625" style="25" customWidth="1"/>
    <col min="142" max="142" width="4.1640625" style="47" customWidth="1"/>
    <col min="143" max="143" width="12.1640625" style="1" customWidth="1"/>
    <col min="144" max="144" width="5.33203125" style="2" customWidth="1"/>
    <col min="145" max="145" width="10.33203125" style="1" customWidth="1"/>
    <col min="146" max="146" width="10.83203125" style="1" customWidth="1"/>
    <col min="147" max="147" width="4.1640625" style="2" customWidth="1"/>
    <col min="148" max="148" width="9.6640625" style="1" customWidth="1"/>
    <col min="149" max="149" width="4.1640625" style="2" customWidth="1"/>
    <col min="150" max="150" width="10.6640625" style="1" customWidth="1"/>
    <col min="151" max="151" width="4.83203125" style="2" customWidth="1"/>
    <col min="152" max="152" width="11.33203125" style="1" customWidth="1"/>
    <col min="153" max="153" width="11.33203125" style="6" customWidth="1"/>
    <col min="154" max="154" width="11.33203125" style="1" customWidth="1"/>
    <col min="155" max="157" width="6.6640625" style="5" customWidth="1"/>
    <col min="158" max="162" width="6.6640625" style="25" customWidth="1"/>
    <col min="163" max="163" width="12.5" style="1" customWidth="1"/>
    <col min="164" max="164" width="5.83203125" style="20" customWidth="1"/>
    <col min="165" max="165" width="9.1640625" style="1" customWidth="1"/>
    <col min="166" max="169" width="11.83203125" style="1" customWidth="1"/>
    <col min="170" max="171" width="13" style="1" customWidth="1"/>
    <col min="172" max="174" width="6.6640625" style="5" customWidth="1"/>
    <col min="175" max="178" width="6.6640625" style="25" customWidth="1"/>
    <col min="179" max="179" width="3.33203125" style="25" customWidth="1"/>
    <col min="180" max="180" width="11.6640625" style="1" customWidth="1"/>
    <col min="181" max="181" width="5.83203125" style="20" customWidth="1"/>
    <col min="182" max="182" width="10.1640625" style="1" customWidth="1"/>
    <col min="183" max="183" width="11.6640625" style="1" customWidth="1"/>
    <col min="184" max="184" width="4.6640625" style="1" customWidth="1"/>
    <col min="185" max="185" width="11.6640625" style="1" customWidth="1"/>
    <col min="186" max="186" width="5.83203125" style="1" customWidth="1"/>
    <col min="187" max="187" width="9.6640625" style="1" customWidth="1"/>
    <col min="188" max="188" width="5.6640625" style="1" customWidth="1"/>
    <col min="189" max="189" width="12" style="1" customWidth="1"/>
    <col min="190" max="190" width="12.6640625" style="1" customWidth="1"/>
    <col min="191" max="191" width="10.1640625" style="1" customWidth="1"/>
    <col min="192" max="194" width="6.6640625" style="5" customWidth="1"/>
    <col min="195" max="199" width="6.6640625" style="25" customWidth="1"/>
    <col min="200" max="200" width="12.83203125" style="1" customWidth="1"/>
    <col min="201" max="201" width="6.33203125" style="20" customWidth="1"/>
    <col min="202" max="202" width="9.33203125" style="1" customWidth="1"/>
    <col min="203" max="206" width="8.5" style="1" customWidth="1"/>
    <col min="207" max="208" width="11" style="1" customWidth="1"/>
    <col min="209" max="211" width="6.6640625" style="5" customWidth="1"/>
    <col min="212" max="216" width="6.6640625" style="25" customWidth="1"/>
    <col min="217" max="217" width="11.33203125" style="1" customWidth="1"/>
    <col min="218" max="218" width="5.1640625" style="20" customWidth="1"/>
    <col min="219" max="219" width="9.1640625" style="1" customWidth="1"/>
    <col min="220" max="222" width="9.6640625" style="1" customWidth="1"/>
    <col min="223" max="223" width="6.83203125" style="1" customWidth="1"/>
    <col min="224" max="224" width="12" style="1" customWidth="1"/>
    <col min="225" max="225" width="6.1640625" style="1" customWidth="1"/>
    <col min="226" max="228" width="12.5" style="1" customWidth="1"/>
    <col min="229" max="229" width="6.6640625" style="5" customWidth="1"/>
    <col min="230" max="231" width="4.33203125" style="5" customWidth="1"/>
    <col min="232" max="236" width="6.5" style="25" customWidth="1"/>
    <col min="237" max="238" width="12" style="1" customWidth="1"/>
    <col min="239" max="239" width="8.1640625" style="1" customWidth="1"/>
    <col min="240" max="240" width="11.33203125" style="1" customWidth="1"/>
    <col min="241" max="241" width="8.33203125" style="1" customWidth="1"/>
    <col min="242" max="242" width="9.6640625" style="1" customWidth="1"/>
    <col min="243" max="244" width="6.6640625" style="1" customWidth="1"/>
    <col min="245" max="245" width="6.6640625" style="5" customWidth="1"/>
    <col min="246" max="247" width="4.1640625" style="5" customWidth="1"/>
    <col min="248" max="252" width="7.33203125" style="25" customWidth="1"/>
    <col min="253" max="254" width="12.33203125" style="1" customWidth="1"/>
    <col min="255" max="255" width="10.6640625" style="1" customWidth="1"/>
    <col min="256" max="256" width="12.6640625" style="1" customWidth="1"/>
    <col min="257" max="258" width="9.83203125" style="1" customWidth="1"/>
    <col min="259" max="259" width="14" style="1" customWidth="1"/>
    <col min="260" max="260" width="13.1640625" style="1" customWidth="1"/>
    <col min="261" max="261" width="12.33203125" style="1" customWidth="1"/>
    <col min="262" max="262" width="9.83203125" style="1" customWidth="1"/>
    <col min="263" max="265" width="6.6640625" style="5" customWidth="1"/>
    <col min="266" max="270" width="8" style="25" customWidth="1"/>
    <col min="271" max="272" width="10.1640625" style="1" customWidth="1"/>
    <col min="273" max="273" width="10.33203125" style="1" customWidth="1"/>
    <col min="274" max="292" width="9.33203125" style="1" customWidth="1"/>
    <col min="293" max="295" width="6.6640625" style="5" customWidth="1"/>
    <col min="296" max="300" width="6.6640625" style="25" customWidth="1"/>
    <col min="301" max="301" width="10.6640625" style="1" customWidth="1"/>
    <col min="302" max="302" width="6.6640625" style="1" customWidth="1"/>
    <col min="303" max="303" width="10.33203125" style="1" customWidth="1"/>
    <col min="304" max="307" width="9.83203125" style="1" customWidth="1"/>
    <col min="308" max="310" width="6.6640625" style="5" customWidth="1"/>
    <col min="311" max="315" width="7.6640625" style="25" customWidth="1"/>
    <col min="316" max="317" width="10.5" style="1" customWidth="1"/>
    <col min="318" max="318" width="9.6640625" style="1" customWidth="1"/>
    <col min="319" max="322" width="10.83203125" style="1" customWidth="1"/>
    <col min="323" max="325" width="6.6640625" style="5" customWidth="1"/>
    <col min="326" max="330" width="6.6640625" style="1" customWidth="1"/>
    <col min="331" max="337" width="9.83203125" style="1" customWidth="1"/>
    <col min="338" max="340" width="6.6640625" style="5" customWidth="1"/>
    <col min="341" max="345" width="6.6640625" style="25" customWidth="1"/>
    <col min="346" max="348" width="9.83203125" style="1" customWidth="1"/>
    <col min="349" max="352" width="11" style="1" customWidth="1"/>
    <col min="353" max="355" width="6.6640625" style="5" customWidth="1"/>
    <col min="356" max="360" width="9.1640625" style="25" customWidth="1"/>
    <col min="361" max="361" width="11.1640625" style="1" customWidth="1"/>
    <col min="362" max="362" width="10.33203125" style="1" customWidth="1"/>
    <col min="363" max="363" width="12.1640625" style="1" customWidth="1"/>
    <col min="364" max="367" width="9.33203125" style="1" customWidth="1"/>
    <col min="368" max="370" width="6.6640625" style="5" customWidth="1"/>
    <col min="371" max="373" width="9.5" style="25" customWidth="1"/>
    <col min="374" max="374" width="11" style="1" customWidth="1"/>
    <col min="375" max="375" width="8.33203125" style="1" customWidth="1"/>
    <col min="376" max="376" width="12" style="1" customWidth="1"/>
    <col min="377" max="379" width="10.5" style="1" customWidth="1"/>
    <col min="380" max="380" width="10.5" style="2" customWidth="1"/>
    <col min="381" max="381" width="9.83203125" style="1" customWidth="1"/>
    <col min="382" max="382" width="12.1640625" style="1" customWidth="1"/>
    <col min="383" max="392" width="8.33203125" style="1"/>
    <col min="393" max="394" width="10.83203125" style="1" customWidth="1"/>
    <col min="395" max="395" width="10.1640625" style="1" customWidth="1"/>
    <col min="396" max="399" width="11.83203125" style="1" customWidth="1"/>
    <col min="400" max="407" width="8.33203125" style="1"/>
    <col min="408" max="409" width="10.5" style="1" customWidth="1"/>
    <col min="410" max="410" width="10" style="1" customWidth="1"/>
    <col min="411" max="413" width="12.1640625" style="1" customWidth="1"/>
    <col min="414" max="415" width="12.1640625" style="81" customWidth="1"/>
    <col min="416" max="416" width="12.1640625" style="6" customWidth="1"/>
    <col min="417" max="417" width="12.1640625" style="1" customWidth="1"/>
    <col min="418" max="418" width="5.6640625" style="2" customWidth="1"/>
    <col min="419" max="419" width="12.1640625" style="1" customWidth="1"/>
    <col min="420" max="421" width="12.1640625" style="81" customWidth="1"/>
    <col min="422" max="424" width="12.1640625" style="1" customWidth="1"/>
    <col min="425" max="425" width="4.5" style="1" customWidth="1"/>
    <col min="426" max="428" width="12.1640625" style="1" customWidth="1"/>
    <col min="429" max="429" width="12.1640625" style="81" customWidth="1"/>
    <col min="430" max="430" width="12.1640625" style="1" customWidth="1"/>
    <col min="431" max="438" width="8.33203125" style="1"/>
    <col min="439" max="439" width="13.1640625" style="1" customWidth="1"/>
    <col min="440" max="440" width="8.33203125" style="1"/>
    <col min="441" max="441" width="11.6640625" style="1" customWidth="1"/>
    <col min="442" max="444" width="11.33203125" style="1" customWidth="1"/>
    <col min="445" max="16384" width="8.33203125" style="1"/>
  </cols>
  <sheetData>
    <row r="1" spans="1:444" ht="16">
      <c r="A1" s="107" t="s">
        <v>0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9"/>
      <c r="T1" s="61"/>
      <c r="U1" s="61"/>
      <c r="V1" s="61"/>
      <c r="W1" s="61"/>
      <c r="X1" s="61"/>
      <c r="Y1" s="61"/>
      <c r="Z1" s="61"/>
      <c r="AA1" s="37"/>
      <c r="AB1" s="37"/>
      <c r="AC1" s="19"/>
      <c r="AD1" s="19"/>
      <c r="AE1" s="19"/>
      <c r="AF1" s="10"/>
      <c r="AG1" s="107" t="s">
        <v>39</v>
      </c>
      <c r="AH1" s="107"/>
      <c r="AI1" s="107"/>
      <c r="AJ1" s="108" t="s">
        <v>1</v>
      </c>
      <c r="AK1" s="108"/>
      <c r="AL1" s="108" t="s">
        <v>2</v>
      </c>
      <c r="AM1" s="108"/>
      <c r="AN1" s="108" t="s">
        <v>3</v>
      </c>
      <c r="AO1" s="108"/>
      <c r="AP1" s="108" t="s">
        <v>4</v>
      </c>
      <c r="AQ1" s="108"/>
      <c r="AR1" s="108" t="s">
        <v>5</v>
      </c>
      <c r="AS1" s="108"/>
      <c r="AT1" s="108" t="s">
        <v>6</v>
      </c>
      <c r="AU1" s="108"/>
      <c r="AV1" s="107" t="s">
        <v>7</v>
      </c>
      <c r="AW1" s="107"/>
      <c r="AX1" s="1" t="s">
        <v>8</v>
      </c>
      <c r="AZ1" s="107" t="s">
        <v>9</v>
      </c>
      <c r="BA1" s="107"/>
      <c r="BB1" s="1" t="s">
        <v>135</v>
      </c>
      <c r="BD1" s="1" t="s">
        <v>10</v>
      </c>
      <c r="BF1" s="107" t="s">
        <v>11</v>
      </c>
      <c r="BG1" s="107"/>
      <c r="BH1" s="107" t="s">
        <v>12</v>
      </c>
      <c r="BI1" s="107"/>
      <c r="BJ1" s="107" t="s">
        <v>35</v>
      </c>
      <c r="BK1" s="107"/>
      <c r="BL1" s="107" t="s">
        <v>33</v>
      </c>
      <c r="BM1" s="107"/>
      <c r="BN1" s="107" t="s">
        <v>34</v>
      </c>
      <c r="BO1" s="107"/>
      <c r="BP1" s="107" t="s">
        <v>36</v>
      </c>
      <c r="BQ1" s="107"/>
      <c r="BR1" s="107" t="s">
        <v>27</v>
      </c>
      <c r="BS1" s="107"/>
      <c r="BT1" s="107" t="s">
        <v>28</v>
      </c>
      <c r="BU1" s="107"/>
      <c r="BV1" s="107" t="s">
        <v>32</v>
      </c>
      <c r="BW1" s="107"/>
      <c r="BX1" s="107" t="s">
        <v>31</v>
      </c>
      <c r="BY1" s="107"/>
      <c r="BZ1" s="107" t="s">
        <v>93</v>
      </c>
      <c r="CA1" s="107"/>
      <c r="CB1" s="10"/>
      <c r="CC1" s="107" t="s">
        <v>88</v>
      </c>
      <c r="CD1" s="107"/>
      <c r="CE1" s="107"/>
      <c r="CF1" s="107"/>
      <c r="CG1" s="107"/>
      <c r="CH1" s="10"/>
      <c r="CI1" s="107" t="s">
        <v>89</v>
      </c>
      <c r="CJ1" s="107"/>
      <c r="CK1" s="107"/>
      <c r="CL1" s="107"/>
      <c r="CM1" s="107"/>
      <c r="CN1" s="11"/>
      <c r="CO1" s="107" t="s">
        <v>90</v>
      </c>
      <c r="CP1" s="107"/>
      <c r="CQ1" s="107"/>
      <c r="CR1" s="107"/>
      <c r="CS1" s="107"/>
      <c r="CT1" s="10"/>
      <c r="CU1" s="10"/>
      <c r="CV1" s="107" t="s">
        <v>116</v>
      </c>
      <c r="CW1" s="107"/>
      <c r="CX1" s="107"/>
      <c r="CY1" s="107"/>
      <c r="CZ1" s="107"/>
      <c r="DA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41"/>
      <c r="DM1" s="10"/>
      <c r="DN1" s="107" t="s">
        <v>1</v>
      </c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  <c r="EB1" s="107"/>
      <c r="EC1" s="107"/>
      <c r="ED1" s="39"/>
      <c r="EE1" s="109" t="s">
        <v>2</v>
      </c>
      <c r="EF1" s="109"/>
      <c r="EG1" s="109"/>
      <c r="EH1" s="109"/>
      <c r="EI1" s="109"/>
      <c r="EJ1" s="109"/>
      <c r="EK1" s="109"/>
      <c r="EL1" s="109"/>
      <c r="EM1" s="107"/>
      <c r="EN1" s="107"/>
      <c r="EO1" s="107"/>
      <c r="EP1" s="107"/>
      <c r="EQ1" s="107"/>
      <c r="ER1" s="107"/>
      <c r="ES1" s="107"/>
      <c r="ET1" s="107"/>
      <c r="EU1" s="107"/>
      <c r="EV1" s="107"/>
      <c r="EX1" s="39"/>
      <c r="EY1" s="109" t="s">
        <v>3</v>
      </c>
      <c r="EZ1" s="109"/>
      <c r="FA1" s="109"/>
      <c r="FB1" s="109"/>
      <c r="FC1" s="109"/>
      <c r="FD1" s="109"/>
      <c r="FE1" s="109"/>
      <c r="FF1" s="109"/>
      <c r="FG1" s="107"/>
      <c r="FH1" s="107"/>
      <c r="FI1" s="107"/>
      <c r="FJ1" s="107"/>
      <c r="FK1" s="107"/>
      <c r="FL1" s="107"/>
      <c r="FM1" s="107"/>
      <c r="FN1" s="107"/>
      <c r="FO1" s="40"/>
      <c r="FP1" s="109" t="s">
        <v>4</v>
      </c>
      <c r="FQ1" s="109"/>
      <c r="FR1" s="109"/>
      <c r="FS1" s="109"/>
      <c r="FT1" s="109"/>
      <c r="FU1" s="109"/>
      <c r="FV1" s="109"/>
      <c r="FW1" s="109"/>
      <c r="FX1" s="107"/>
      <c r="FY1" s="107"/>
      <c r="FZ1" s="107"/>
      <c r="GA1" s="107"/>
      <c r="GB1" s="107"/>
      <c r="GC1" s="107"/>
      <c r="GD1" s="107"/>
      <c r="GE1" s="107"/>
      <c r="GF1" s="107"/>
      <c r="GG1" s="107"/>
      <c r="GH1" s="10"/>
      <c r="GI1" s="40"/>
      <c r="GJ1" s="107" t="s">
        <v>5</v>
      </c>
      <c r="GK1" s="107"/>
      <c r="GL1" s="107"/>
      <c r="GM1" s="107"/>
      <c r="GN1" s="107"/>
      <c r="GO1" s="107"/>
      <c r="GP1" s="107"/>
      <c r="GQ1" s="107"/>
      <c r="GR1" s="107"/>
      <c r="GS1" s="107"/>
      <c r="GT1" s="107"/>
      <c r="GU1" s="107"/>
      <c r="GV1" s="107"/>
      <c r="GW1" s="107"/>
      <c r="GX1" s="107"/>
      <c r="GY1" s="107"/>
      <c r="GZ1" s="40"/>
      <c r="HA1" s="107" t="s">
        <v>6</v>
      </c>
      <c r="HB1" s="107"/>
      <c r="HC1" s="107"/>
      <c r="HD1" s="107"/>
      <c r="HE1" s="107"/>
      <c r="HF1" s="107"/>
      <c r="HG1" s="107"/>
      <c r="HH1" s="107"/>
      <c r="HI1" s="107"/>
      <c r="HJ1" s="107"/>
      <c r="HK1" s="107"/>
      <c r="HL1" s="107"/>
      <c r="HM1" s="107"/>
      <c r="HN1" s="107"/>
      <c r="HO1" s="107"/>
      <c r="HP1" s="107"/>
      <c r="HQ1" s="107"/>
      <c r="HR1" s="107"/>
      <c r="HS1" s="18"/>
      <c r="HT1" s="41"/>
      <c r="HU1" s="107" t="s">
        <v>7</v>
      </c>
      <c r="HV1" s="107"/>
      <c r="HW1" s="107"/>
      <c r="HX1" s="107"/>
      <c r="HY1" s="107"/>
      <c r="HZ1" s="107"/>
      <c r="IA1" s="107"/>
      <c r="IB1" s="107"/>
      <c r="IC1" s="107"/>
      <c r="ID1" s="107"/>
      <c r="IE1" s="107"/>
      <c r="IF1" s="107"/>
      <c r="IG1" s="107"/>
      <c r="IH1" s="107"/>
      <c r="II1" s="107"/>
      <c r="IJ1" s="61"/>
      <c r="IK1" s="107" t="s">
        <v>8</v>
      </c>
      <c r="IL1" s="107"/>
      <c r="IM1" s="107"/>
      <c r="IN1" s="107"/>
      <c r="IO1" s="107"/>
      <c r="IP1" s="107"/>
      <c r="IQ1" s="107"/>
      <c r="IR1" s="107"/>
      <c r="IS1" s="107"/>
      <c r="IT1" s="107"/>
      <c r="IU1" s="107"/>
      <c r="IV1" s="36"/>
      <c r="IW1" s="61"/>
      <c r="IX1" s="36"/>
      <c r="IY1" s="72"/>
      <c r="IZ1" s="72"/>
      <c r="JA1" s="72"/>
      <c r="JB1" s="61"/>
      <c r="JC1" s="107" t="s">
        <v>9</v>
      </c>
      <c r="JD1" s="107"/>
      <c r="JE1" s="107"/>
      <c r="JF1" s="107"/>
      <c r="JG1" s="107"/>
      <c r="JH1" s="107"/>
      <c r="JI1" s="107"/>
      <c r="JJ1" s="107"/>
      <c r="JK1" s="107"/>
      <c r="JL1" s="107"/>
      <c r="JM1" s="107"/>
      <c r="JN1" s="36"/>
      <c r="JO1" s="61"/>
      <c r="JP1" s="36"/>
      <c r="JQ1" s="61"/>
      <c r="JR1" s="107" t="s">
        <v>135</v>
      </c>
      <c r="JS1" s="107"/>
      <c r="JT1" s="107"/>
      <c r="JU1" s="107"/>
      <c r="JV1" s="107"/>
      <c r="JW1" s="107"/>
      <c r="JX1" s="107"/>
      <c r="JY1" s="107"/>
      <c r="JZ1" s="107"/>
      <c r="KA1" s="107"/>
      <c r="KB1" s="107"/>
      <c r="KC1" s="71"/>
      <c r="KD1" s="71"/>
      <c r="KE1" s="71"/>
      <c r="KF1" s="71"/>
      <c r="KG1" s="107" t="s">
        <v>10</v>
      </c>
      <c r="KH1" s="107"/>
      <c r="KI1" s="107"/>
      <c r="KJ1" s="107"/>
      <c r="KK1" s="107"/>
      <c r="KL1" s="107"/>
      <c r="KM1" s="107"/>
      <c r="KN1" s="107"/>
      <c r="KO1" s="107"/>
      <c r="KP1" s="107"/>
      <c r="KQ1" s="107"/>
      <c r="KR1" s="36"/>
      <c r="KS1" s="61"/>
      <c r="KT1" s="36"/>
      <c r="KU1" s="61"/>
      <c r="KV1" s="107" t="s">
        <v>11</v>
      </c>
      <c r="KW1" s="107"/>
      <c r="KX1" s="107"/>
      <c r="KY1" s="107"/>
      <c r="KZ1" s="107"/>
      <c r="LA1" s="107"/>
      <c r="LB1" s="107"/>
      <c r="LC1" s="107"/>
      <c r="LD1" s="107"/>
      <c r="LE1" s="107"/>
      <c r="LF1" s="107"/>
      <c r="LG1" s="36"/>
      <c r="LH1" s="61"/>
      <c r="LI1" s="36"/>
      <c r="LJ1" s="61"/>
      <c r="LK1" s="107" t="s">
        <v>12</v>
      </c>
      <c r="LL1" s="107"/>
      <c r="LM1" s="107"/>
      <c r="LN1" s="107"/>
      <c r="LO1" s="107"/>
      <c r="LP1" s="107"/>
      <c r="LQ1" s="107"/>
      <c r="LR1" s="107"/>
      <c r="LS1" s="107"/>
      <c r="LT1" s="107"/>
      <c r="LU1" s="107"/>
      <c r="LV1" s="36"/>
      <c r="LW1" s="61"/>
      <c r="LX1" s="36"/>
      <c r="LY1" s="61"/>
      <c r="LZ1" s="107" t="s">
        <v>35</v>
      </c>
      <c r="MA1" s="107"/>
      <c r="MB1" s="107"/>
      <c r="MC1" s="107"/>
      <c r="MD1" s="107"/>
      <c r="ME1" s="107"/>
      <c r="MF1" s="107"/>
      <c r="MG1" s="107"/>
      <c r="MH1" s="107"/>
      <c r="MI1" s="107"/>
      <c r="MJ1" s="107"/>
      <c r="MK1" s="36"/>
      <c r="ML1" s="61"/>
      <c r="MM1" s="36"/>
      <c r="MN1" s="61"/>
      <c r="MO1" s="107" t="s">
        <v>33</v>
      </c>
      <c r="MP1" s="107"/>
      <c r="MQ1" s="107"/>
      <c r="MR1" s="107"/>
      <c r="MS1" s="107"/>
      <c r="MT1" s="107"/>
      <c r="MU1" s="107"/>
      <c r="MV1" s="107"/>
      <c r="MW1" s="107"/>
      <c r="MX1" s="107"/>
      <c r="MY1" s="107"/>
      <c r="MZ1" s="36"/>
      <c r="NA1" s="61"/>
      <c r="NB1" s="36"/>
      <c r="NC1" s="61"/>
      <c r="ND1" s="107" t="s">
        <v>36</v>
      </c>
      <c r="NE1" s="107"/>
      <c r="NF1" s="107"/>
      <c r="NG1" s="107"/>
      <c r="NH1" s="107"/>
      <c r="NI1" s="107"/>
      <c r="NJ1" s="107"/>
      <c r="NK1" s="107"/>
      <c r="NL1" s="107"/>
      <c r="NM1" s="36"/>
      <c r="NN1" s="61"/>
      <c r="NO1" s="36"/>
      <c r="NP1" s="67"/>
      <c r="NQ1" s="19"/>
      <c r="NR1" s="19"/>
      <c r="NS1" s="19"/>
      <c r="NT1" s="61"/>
      <c r="NU1" s="107" t="s">
        <v>27</v>
      </c>
      <c r="NV1" s="107"/>
      <c r="NW1" s="107"/>
      <c r="NX1" s="107"/>
      <c r="NY1" s="107"/>
      <c r="NZ1" s="107"/>
      <c r="OA1" s="107"/>
      <c r="OB1" s="107"/>
      <c r="OC1" s="107"/>
      <c r="OD1" s="107"/>
      <c r="OE1" s="107"/>
      <c r="OF1" s="36"/>
      <c r="OG1" s="61"/>
      <c r="OH1" s="36"/>
      <c r="OI1" s="61"/>
      <c r="OJ1" s="110" t="s">
        <v>28</v>
      </c>
      <c r="OK1" s="110"/>
      <c r="OL1" s="110"/>
      <c r="OM1" s="110"/>
      <c r="ON1" s="110"/>
      <c r="OO1" s="110"/>
      <c r="OP1" s="110"/>
      <c r="OQ1" s="110"/>
      <c r="OR1" s="110"/>
      <c r="OS1" s="110"/>
      <c r="OT1" s="110"/>
      <c r="OU1" s="35"/>
      <c r="OV1" s="60"/>
      <c r="OW1" s="35"/>
      <c r="OX1" s="80"/>
      <c r="OY1" s="80"/>
      <c r="OZ1" s="76"/>
      <c r="PA1" s="75"/>
      <c r="PB1" s="84"/>
      <c r="PC1" s="75"/>
      <c r="PD1" s="80"/>
      <c r="PE1" s="80"/>
      <c r="PF1" s="75"/>
      <c r="PG1" s="75"/>
      <c r="PH1" s="75"/>
      <c r="PI1" s="60"/>
      <c r="PJ1" s="75"/>
      <c r="PK1" s="75"/>
      <c r="PL1" s="75"/>
      <c r="PM1" s="80"/>
      <c r="PN1" s="75"/>
      <c r="PO1" s="110" t="s">
        <v>93</v>
      </c>
      <c r="PP1" s="110"/>
      <c r="PQ1" s="110"/>
      <c r="PR1" s="110"/>
      <c r="PS1" s="110"/>
      <c r="PT1" s="110"/>
      <c r="PU1" s="110"/>
      <c r="PV1" s="110"/>
      <c r="PW1" s="110"/>
      <c r="PX1" s="110"/>
      <c r="PY1" s="110"/>
      <c r="PZ1" s="110"/>
      <c r="QA1" s="110"/>
      <c r="QB1" s="110"/>
    </row>
    <row r="2" spans="1:444">
      <c r="A2" s="8" t="s">
        <v>13</v>
      </c>
      <c r="B2" s="8" t="s">
        <v>58</v>
      </c>
      <c r="C2" s="53" t="s">
        <v>114</v>
      </c>
      <c r="D2" s="28" t="s">
        <v>17</v>
      </c>
      <c r="E2" s="28" t="s">
        <v>72</v>
      </c>
      <c r="F2" s="52" t="s">
        <v>114</v>
      </c>
      <c r="G2" s="28" t="s">
        <v>57</v>
      </c>
      <c r="H2" s="52" t="s">
        <v>114</v>
      </c>
      <c r="I2" s="1" t="s">
        <v>14</v>
      </c>
      <c r="J2" s="50" t="s">
        <v>114</v>
      </c>
      <c r="K2" s="1" t="s">
        <v>15</v>
      </c>
      <c r="L2" s="32" t="s">
        <v>16</v>
      </c>
      <c r="M2" s="50" t="s">
        <v>114</v>
      </c>
      <c r="N2" s="2" t="s">
        <v>16</v>
      </c>
      <c r="O2" s="50" t="s">
        <v>114</v>
      </c>
      <c r="P2" s="1" t="s">
        <v>18</v>
      </c>
      <c r="Q2" s="1" t="s">
        <v>19</v>
      </c>
      <c r="R2" s="1" t="s">
        <v>20</v>
      </c>
      <c r="S2" s="3" t="s">
        <v>80</v>
      </c>
      <c r="T2" s="38" t="s">
        <v>94</v>
      </c>
      <c r="U2" s="28" t="s">
        <v>95</v>
      </c>
      <c r="V2" s="28" t="s">
        <v>97</v>
      </c>
      <c r="W2" s="28" t="s">
        <v>96</v>
      </c>
      <c r="X2" s="1" t="s">
        <v>91</v>
      </c>
      <c r="Y2" s="3"/>
      <c r="Z2" s="3"/>
      <c r="AA2" s="3"/>
      <c r="AB2" s="3"/>
      <c r="AC2" s="1" t="s">
        <v>76</v>
      </c>
      <c r="AD2" s="1" t="s">
        <v>73</v>
      </c>
      <c r="AE2" s="1" t="s">
        <v>92</v>
      </c>
      <c r="AG2" s="6" t="s">
        <v>37</v>
      </c>
      <c r="AH2" s="6" t="s">
        <v>212</v>
      </c>
      <c r="AI2" s="6" t="s">
        <v>38</v>
      </c>
      <c r="AJ2" s="6" t="s">
        <v>37</v>
      </c>
      <c r="AK2" s="6" t="s">
        <v>38</v>
      </c>
      <c r="AL2" s="6" t="s">
        <v>37</v>
      </c>
      <c r="AM2" s="6" t="s">
        <v>38</v>
      </c>
      <c r="AN2" s="6" t="s">
        <v>37</v>
      </c>
      <c r="AO2" s="6" t="s">
        <v>38</v>
      </c>
      <c r="AP2" s="6" t="s">
        <v>37</v>
      </c>
      <c r="AQ2" s="6" t="s">
        <v>38</v>
      </c>
      <c r="AR2" s="6" t="s">
        <v>37</v>
      </c>
      <c r="AS2" s="6" t="s">
        <v>38</v>
      </c>
      <c r="AT2" s="6" t="s">
        <v>37</v>
      </c>
      <c r="AU2" s="6" t="s">
        <v>38</v>
      </c>
      <c r="AV2" s="6" t="s">
        <v>37</v>
      </c>
      <c r="AW2" s="6" t="s">
        <v>38</v>
      </c>
      <c r="AX2" s="6" t="s">
        <v>37</v>
      </c>
      <c r="AY2" s="6" t="s">
        <v>38</v>
      </c>
      <c r="AZ2" s="6" t="s">
        <v>37</v>
      </c>
      <c r="BA2" s="6" t="s">
        <v>38</v>
      </c>
      <c r="BB2" s="6" t="s">
        <v>37</v>
      </c>
      <c r="BC2" s="6" t="s">
        <v>38</v>
      </c>
      <c r="BD2" s="6" t="s">
        <v>37</v>
      </c>
      <c r="BE2" s="6" t="s">
        <v>38</v>
      </c>
      <c r="BF2" s="6" t="s">
        <v>37</v>
      </c>
      <c r="BG2" s="6" t="s">
        <v>38</v>
      </c>
      <c r="BH2" s="6" t="s">
        <v>37</v>
      </c>
      <c r="BI2" s="6" t="s">
        <v>38</v>
      </c>
      <c r="BJ2" s="6" t="s">
        <v>37</v>
      </c>
      <c r="BK2" s="6" t="s">
        <v>38</v>
      </c>
      <c r="BL2" s="6" t="s">
        <v>37</v>
      </c>
      <c r="BM2" s="6" t="s">
        <v>38</v>
      </c>
      <c r="BN2" s="6" t="s">
        <v>37</v>
      </c>
      <c r="BO2" s="6" t="s">
        <v>38</v>
      </c>
      <c r="BP2" s="6" t="s">
        <v>37</v>
      </c>
      <c r="BQ2" s="6" t="s">
        <v>38</v>
      </c>
      <c r="BR2" s="6" t="s">
        <v>37</v>
      </c>
      <c r="BS2" s="6" t="s">
        <v>38</v>
      </c>
      <c r="BT2" s="6" t="s">
        <v>37</v>
      </c>
      <c r="BU2" s="6" t="s">
        <v>38</v>
      </c>
      <c r="BV2" s="6" t="s">
        <v>37</v>
      </c>
      <c r="BW2" s="6" t="s">
        <v>38</v>
      </c>
      <c r="BX2" s="6" t="s">
        <v>37</v>
      </c>
      <c r="BY2" s="6" t="s">
        <v>38</v>
      </c>
      <c r="BZ2" s="6" t="s">
        <v>37</v>
      </c>
      <c r="CA2" s="6" t="s">
        <v>38</v>
      </c>
      <c r="CC2" s="1" t="s">
        <v>40</v>
      </c>
      <c r="CD2" s="1" t="s">
        <v>41</v>
      </c>
      <c r="CE2" s="1" t="s">
        <v>44</v>
      </c>
      <c r="CF2" s="12" t="s">
        <v>46</v>
      </c>
      <c r="CG2" s="13" t="s">
        <v>47</v>
      </c>
      <c r="CI2" s="1" t="s">
        <v>42</v>
      </c>
      <c r="CJ2" s="1" t="s">
        <v>43</v>
      </c>
      <c r="CK2" s="1" t="s">
        <v>45</v>
      </c>
      <c r="CL2" s="12" t="s">
        <v>48</v>
      </c>
      <c r="CM2" s="13" t="s">
        <v>49</v>
      </c>
      <c r="CN2" s="13"/>
      <c r="CO2" s="1" t="s">
        <v>50</v>
      </c>
      <c r="CP2" s="1" t="s">
        <v>51</v>
      </c>
      <c r="CQ2" s="1" t="s">
        <v>52</v>
      </c>
      <c r="CR2" s="12" t="s">
        <v>53</v>
      </c>
      <c r="CS2" s="13" t="s">
        <v>54</v>
      </c>
      <c r="CV2" s="8" t="s">
        <v>13</v>
      </c>
      <c r="CW2" s="8" t="s">
        <v>58</v>
      </c>
      <c r="CX2" s="53" t="s">
        <v>114</v>
      </c>
      <c r="CY2" s="28" t="s">
        <v>17</v>
      </c>
      <c r="CZ2" s="28" t="s">
        <v>72</v>
      </c>
      <c r="DA2" s="52" t="s">
        <v>114</v>
      </c>
      <c r="DB2" s="28" t="s">
        <v>57</v>
      </c>
      <c r="DC2" s="52" t="s">
        <v>114</v>
      </c>
      <c r="DD2" s="1" t="s">
        <v>14</v>
      </c>
      <c r="DE2" s="20" t="s">
        <v>66</v>
      </c>
      <c r="DF2" s="50" t="s">
        <v>114</v>
      </c>
      <c r="DG2" s="1" t="s">
        <v>15</v>
      </c>
      <c r="DH2" s="20" t="s">
        <v>68</v>
      </c>
      <c r="DI2" s="32" t="s">
        <v>16</v>
      </c>
      <c r="DJ2" s="50" t="s">
        <v>114</v>
      </c>
      <c r="DK2" s="2" t="s">
        <v>16</v>
      </c>
      <c r="DN2" s="8" t="s">
        <v>13</v>
      </c>
      <c r="DO2" s="8" t="s">
        <v>58</v>
      </c>
      <c r="DP2" s="53" t="s">
        <v>114</v>
      </c>
      <c r="DQ2" s="28" t="s">
        <v>17</v>
      </c>
      <c r="DR2" s="28" t="s">
        <v>72</v>
      </c>
      <c r="DS2" s="52" t="s">
        <v>114</v>
      </c>
      <c r="DT2" s="28" t="s">
        <v>57</v>
      </c>
      <c r="DU2" s="52" t="s">
        <v>114</v>
      </c>
      <c r="DV2" s="1" t="s">
        <v>14</v>
      </c>
      <c r="DW2" s="50" t="s">
        <v>114</v>
      </c>
      <c r="DX2" s="1" t="s">
        <v>15</v>
      </c>
      <c r="DY2" s="32" t="s">
        <v>16</v>
      </c>
      <c r="DZ2" s="50" t="s">
        <v>114</v>
      </c>
      <c r="EA2" s="2" t="s">
        <v>16</v>
      </c>
      <c r="EB2" s="50" t="s">
        <v>114</v>
      </c>
      <c r="EC2" s="1" t="s">
        <v>18</v>
      </c>
      <c r="EE2" s="8" t="s">
        <v>13</v>
      </c>
      <c r="EF2" s="8" t="s">
        <v>58</v>
      </c>
      <c r="EG2" s="53" t="s">
        <v>114</v>
      </c>
      <c r="EH2" s="28" t="s">
        <v>17</v>
      </c>
      <c r="EI2" s="28" t="s">
        <v>72</v>
      </c>
      <c r="EJ2" s="52" t="s">
        <v>114</v>
      </c>
      <c r="EK2" s="28" t="s">
        <v>57</v>
      </c>
      <c r="EL2" s="52" t="s">
        <v>114</v>
      </c>
      <c r="EM2" s="1" t="s">
        <v>14</v>
      </c>
      <c r="EN2" s="50" t="s">
        <v>114</v>
      </c>
      <c r="EO2" s="1" t="s">
        <v>15</v>
      </c>
      <c r="EP2" s="32" t="s">
        <v>16</v>
      </c>
      <c r="EQ2" s="50" t="s">
        <v>114</v>
      </c>
      <c r="ER2" s="2" t="s">
        <v>16</v>
      </c>
      <c r="ES2" s="43" t="s">
        <v>114</v>
      </c>
      <c r="ET2" s="3" t="s">
        <v>21</v>
      </c>
      <c r="EU2" s="42" t="s">
        <v>114</v>
      </c>
      <c r="EV2" s="3" t="s">
        <v>22</v>
      </c>
      <c r="EW2" s="62" t="s">
        <v>63</v>
      </c>
      <c r="EX2" s="3"/>
      <c r="EY2" s="8" t="s">
        <v>13</v>
      </c>
      <c r="EZ2" s="8" t="s">
        <v>58</v>
      </c>
      <c r="FA2" s="53" t="s">
        <v>114</v>
      </c>
      <c r="FB2" s="28" t="s">
        <v>17</v>
      </c>
      <c r="FC2" s="28" t="s">
        <v>72</v>
      </c>
      <c r="FD2" s="52" t="s">
        <v>114</v>
      </c>
      <c r="FE2" s="28" t="s">
        <v>57</v>
      </c>
      <c r="FF2" s="52" t="s">
        <v>114</v>
      </c>
      <c r="FG2" s="1" t="s">
        <v>14</v>
      </c>
      <c r="FH2" s="50" t="s">
        <v>114</v>
      </c>
      <c r="FI2" s="1" t="s">
        <v>15</v>
      </c>
      <c r="FJ2" s="32" t="s">
        <v>16</v>
      </c>
      <c r="FK2" s="50" t="s">
        <v>114</v>
      </c>
      <c r="FL2" s="2" t="s">
        <v>16</v>
      </c>
      <c r="FM2" s="50" t="s">
        <v>114</v>
      </c>
      <c r="FN2" s="1" t="s">
        <v>19</v>
      </c>
      <c r="FP2" s="8" t="s">
        <v>13</v>
      </c>
      <c r="FQ2" s="8" t="s">
        <v>58</v>
      </c>
      <c r="FR2" s="53" t="s">
        <v>114</v>
      </c>
      <c r="FS2" s="28" t="s">
        <v>17</v>
      </c>
      <c r="FT2" s="28" t="s">
        <v>72</v>
      </c>
      <c r="FU2" s="52" t="s">
        <v>114</v>
      </c>
      <c r="FV2" s="28" t="s">
        <v>57</v>
      </c>
      <c r="FW2" s="52" t="s">
        <v>114</v>
      </c>
      <c r="FX2" s="1" t="s">
        <v>14</v>
      </c>
      <c r="FY2" s="50" t="s">
        <v>114</v>
      </c>
      <c r="FZ2" s="1" t="s">
        <v>15</v>
      </c>
      <c r="GA2" s="32" t="s">
        <v>16</v>
      </c>
      <c r="GB2" s="50" t="s">
        <v>114</v>
      </c>
      <c r="GC2" s="2" t="s">
        <v>16</v>
      </c>
      <c r="GD2" s="50" t="s">
        <v>114</v>
      </c>
      <c r="GE2" s="3" t="s">
        <v>23</v>
      </c>
      <c r="GF2" s="53" t="s">
        <v>114</v>
      </c>
      <c r="GG2" s="3" t="s">
        <v>24</v>
      </c>
      <c r="GH2" s="3" t="s">
        <v>63</v>
      </c>
      <c r="GI2" s="3"/>
      <c r="GJ2" s="8" t="s">
        <v>13</v>
      </c>
      <c r="GK2" s="8" t="s">
        <v>58</v>
      </c>
      <c r="GL2" s="52" t="s">
        <v>114</v>
      </c>
      <c r="GM2" s="28" t="s">
        <v>17</v>
      </c>
      <c r="GN2" s="28" t="s">
        <v>72</v>
      </c>
      <c r="GO2" s="52" t="s">
        <v>114</v>
      </c>
      <c r="GP2" s="28" t="s">
        <v>57</v>
      </c>
      <c r="GQ2" s="8" t="s">
        <v>114</v>
      </c>
      <c r="GR2" s="1" t="s">
        <v>14</v>
      </c>
      <c r="GS2" s="99" t="s">
        <v>114</v>
      </c>
      <c r="GT2" s="1" t="s">
        <v>15</v>
      </c>
      <c r="GU2" s="32" t="s">
        <v>16</v>
      </c>
      <c r="GV2" s="100" t="s">
        <v>114</v>
      </c>
      <c r="GW2" s="2" t="s">
        <v>16</v>
      </c>
      <c r="GX2" s="43" t="s">
        <v>114</v>
      </c>
      <c r="GY2" s="1" t="s">
        <v>20</v>
      </c>
      <c r="HA2" s="8" t="s">
        <v>13</v>
      </c>
      <c r="HB2" s="8" t="s">
        <v>58</v>
      </c>
      <c r="HC2" s="8" t="s">
        <v>448</v>
      </c>
      <c r="HD2" s="28" t="s">
        <v>71</v>
      </c>
      <c r="HE2" s="28" t="s">
        <v>72</v>
      </c>
      <c r="HF2" s="8" t="s">
        <v>448</v>
      </c>
      <c r="HG2" s="28" t="s">
        <v>57</v>
      </c>
      <c r="HH2" s="8" t="s">
        <v>448</v>
      </c>
      <c r="HI2" s="1" t="s">
        <v>14</v>
      </c>
      <c r="HJ2" s="99" t="s">
        <v>448</v>
      </c>
      <c r="HK2" s="1" t="s">
        <v>15</v>
      </c>
      <c r="HL2" s="32" t="s">
        <v>16</v>
      </c>
      <c r="HM2" s="100" t="s">
        <v>448</v>
      </c>
      <c r="HN2" s="2" t="s">
        <v>16</v>
      </c>
      <c r="HO2" s="43" t="s">
        <v>448</v>
      </c>
      <c r="HP2" s="3" t="s">
        <v>55</v>
      </c>
      <c r="HQ2" s="8" t="s">
        <v>448</v>
      </c>
      <c r="HR2" s="3" t="s">
        <v>56</v>
      </c>
      <c r="HS2" s="3" t="s">
        <v>63</v>
      </c>
      <c r="HT2" s="3"/>
      <c r="HU2" s="8" t="s">
        <v>13</v>
      </c>
      <c r="HV2" s="8" t="s">
        <v>58</v>
      </c>
      <c r="HW2" s="53" t="s">
        <v>114</v>
      </c>
      <c r="HX2" s="28" t="s">
        <v>17</v>
      </c>
      <c r="HY2" s="28" t="s">
        <v>72</v>
      </c>
      <c r="HZ2" s="52" t="s">
        <v>114</v>
      </c>
      <c r="IA2" s="28" t="s">
        <v>57</v>
      </c>
      <c r="IB2" s="52" t="s">
        <v>114</v>
      </c>
      <c r="IC2" s="1" t="s">
        <v>14</v>
      </c>
      <c r="ID2" s="50" t="s">
        <v>114</v>
      </c>
      <c r="IE2" s="1" t="s">
        <v>15</v>
      </c>
      <c r="IF2" s="32" t="s">
        <v>16</v>
      </c>
      <c r="IG2" s="50" t="s">
        <v>114</v>
      </c>
      <c r="IH2" s="2" t="s">
        <v>16</v>
      </c>
      <c r="II2" s="3" t="s">
        <v>25</v>
      </c>
      <c r="IJ2" s="3"/>
      <c r="IK2" s="8" t="s">
        <v>13</v>
      </c>
      <c r="IL2" s="8" t="s">
        <v>58</v>
      </c>
      <c r="IM2" s="53" t="s">
        <v>114</v>
      </c>
      <c r="IN2" s="28" t="s">
        <v>17</v>
      </c>
      <c r="IO2" s="28" t="s">
        <v>72</v>
      </c>
      <c r="IP2" s="52" t="s">
        <v>114</v>
      </c>
      <c r="IQ2" s="28" t="s">
        <v>57</v>
      </c>
      <c r="IR2" s="52" t="s">
        <v>114</v>
      </c>
      <c r="IS2" s="1" t="s">
        <v>14</v>
      </c>
      <c r="IT2" s="50" t="s">
        <v>114</v>
      </c>
      <c r="IU2" s="1" t="s">
        <v>15</v>
      </c>
      <c r="IV2" s="32" t="s">
        <v>16</v>
      </c>
      <c r="IW2" s="50" t="s">
        <v>114</v>
      </c>
      <c r="IX2" s="2" t="s">
        <v>16</v>
      </c>
      <c r="IY2" s="2" t="s">
        <v>136</v>
      </c>
      <c r="IZ2" s="2" t="s">
        <v>137</v>
      </c>
      <c r="JA2" s="7" t="s">
        <v>138</v>
      </c>
      <c r="JB2" s="2"/>
      <c r="JC2" s="8" t="s">
        <v>13</v>
      </c>
      <c r="JD2" s="8" t="s">
        <v>58</v>
      </c>
      <c r="JE2" s="53" t="s">
        <v>114</v>
      </c>
      <c r="JF2" s="28" t="s">
        <v>17</v>
      </c>
      <c r="JG2" s="28" t="s">
        <v>72</v>
      </c>
      <c r="JH2" s="52" t="s">
        <v>114</v>
      </c>
      <c r="JI2" s="28" t="s">
        <v>57</v>
      </c>
      <c r="JJ2" s="52" t="s">
        <v>114</v>
      </c>
      <c r="JK2" s="1" t="s">
        <v>14</v>
      </c>
      <c r="JL2" s="50" t="s">
        <v>114</v>
      </c>
      <c r="JM2" s="1" t="s">
        <v>15</v>
      </c>
      <c r="JN2" s="32" t="s">
        <v>16</v>
      </c>
      <c r="JO2" s="50" t="s">
        <v>114</v>
      </c>
      <c r="JP2" s="2" t="s">
        <v>16</v>
      </c>
      <c r="JQ2" s="2"/>
      <c r="JR2" s="8" t="s">
        <v>13</v>
      </c>
      <c r="JS2" s="8" t="s">
        <v>58</v>
      </c>
      <c r="JT2" s="53" t="s">
        <v>114</v>
      </c>
      <c r="JU2" s="28" t="s">
        <v>17</v>
      </c>
      <c r="JV2" s="28" t="s">
        <v>72</v>
      </c>
      <c r="JW2" s="52" t="s">
        <v>114</v>
      </c>
      <c r="JX2" s="28" t="s">
        <v>57</v>
      </c>
      <c r="JY2" s="52" t="s">
        <v>114</v>
      </c>
      <c r="JZ2" s="1" t="s">
        <v>14</v>
      </c>
      <c r="KA2" s="50" t="s">
        <v>114</v>
      </c>
      <c r="KB2" s="1" t="s">
        <v>15</v>
      </c>
      <c r="KC2" s="32" t="s">
        <v>16</v>
      </c>
      <c r="KD2" s="50" t="s">
        <v>114</v>
      </c>
      <c r="KE2" s="2" t="s">
        <v>16</v>
      </c>
      <c r="KF2" s="2"/>
      <c r="KG2" s="8" t="s">
        <v>13</v>
      </c>
      <c r="KH2" s="8" t="s">
        <v>58</v>
      </c>
      <c r="KI2" s="53" t="s">
        <v>114</v>
      </c>
      <c r="KJ2" s="28" t="s">
        <v>17</v>
      </c>
      <c r="KK2" s="28" t="s">
        <v>72</v>
      </c>
      <c r="KL2" s="52" t="s">
        <v>114</v>
      </c>
      <c r="KM2" s="28" t="s">
        <v>57</v>
      </c>
      <c r="KN2" s="52" t="s">
        <v>114</v>
      </c>
      <c r="KO2" s="1" t="s">
        <v>14</v>
      </c>
      <c r="KP2" s="50" t="s">
        <v>114</v>
      </c>
      <c r="KQ2" s="1" t="s">
        <v>15</v>
      </c>
      <c r="KR2" s="32" t="s">
        <v>16</v>
      </c>
      <c r="KS2" s="50" t="s">
        <v>114</v>
      </c>
      <c r="KT2" s="2" t="s">
        <v>16</v>
      </c>
      <c r="KU2" s="2"/>
      <c r="KV2" s="8" t="s">
        <v>13</v>
      </c>
      <c r="KW2" s="8" t="s">
        <v>58</v>
      </c>
      <c r="KX2" s="53" t="s">
        <v>114</v>
      </c>
      <c r="KY2" s="28" t="s">
        <v>17</v>
      </c>
      <c r="KZ2" s="28" t="s">
        <v>72</v>
      </c>
      <c r="LA2" s="52" t="s">
        <v>114</v>
      </c>
      <c r="LB2" s="28" t="s">
        <v>57</v>
      </c>
      <c r="LC2" s="52" t="s">
        <v>114</v>
      </c>
      <c r="LD2" s="1" t="s">
        <v>14</v>
      </c>
      <c r="LE2" s="50" t="s">
        <v>114</v>
      </c>
      <c r="LF2" s="1" t="s">
        <v>15</v>
      </c>
      <c r="LG2" s="32" t="s">
        <v>16</v>
      </c>
      <c r="LH2" s="50" t="s">
        <v>114</v>
      </c>
      <c r="LI2" s="2" t="s">
        <v>16</v>
      </c>
      <c r="LJ2" s="2"/>
      <c r="LK2" s="8" t="s">
        <v>13</v>
      </c>
      <c r="LL2" s="8" t="s">
        <v>58</v>
      </c>
      <c r="LM2" s="53" t="s">
        <v>114</v>
      </c>
      <c r="LN2" s="28" t="s">
        <v>17</v>
      </c>
      <c r="LO2" s="28" t="s">
        <v>72</v>
      </c>
      <c r="LP2" s="52" t="s">
        <v>114</v>
      </c>
      <c r="LQ2" s="28" t="s">
        <v>57</v>
      </c>
      <c r="LR2" s="52" t="s">
        <v>114</v>
      </c>
      <c r="LS2" s="1" t="s">
        <v>14</v>
      </c>
      <c r="LT2" s="50" t="s">
        <v>114</v>
      </c>
      <c r="LU2" s="1" t="s">
        <v>15</v>
      </c>
      <c r="LV2" s="32" t="s">
        <v>16</v>
      </c>
      <c r="LW2" s="50" t="s">
        <v>114</v>
      </c>
      <c r="LX2" s="2" t="s">
        <v>16</v>
      </c>
      <c r="LY2" s="2"/>
      <c r="LZ2" s="8" t="s">
        <v>13</v>
      </c>
      <c r="MA2" s="8" t="s">
        <v>58</v>
      </c>
      <c r="MB2" s="53" t="s">
        <v>114</v>
      </c>
      <c r="MC2" s="28" t="s">
        <v>17</v>
      </c>
      <c r="MD2" s="28" t="s">
        <v>72</v>
      </c>
      <c r="ME2" s="52" t="s">
        <v>114</v>
      </c>
      <c r="MF2" s="28" t="s">
        <v>57</v>
      </c>
      <c r="MG2" s="52" t="s">
        <v>114</v>
      </c>
      <c r="MH2" s="1" t="s">
        <v>14</v>
      </c>
      <c r="MI2" s="50" t="s">
        <v>114</v>
      </c>
      <c r="MJ2" s="1" t="s">
        <v>15</v>
      </c>
      <c r="MK2" s="32" t="s">
        <v>16</v>
      </c>
      <c r="ML2" s="50" t="s">
        <v>114</v>
      </c>
      <c r="MM2" s="2" t="s">
        <v>16</v>
      </c>
      <c r="MN2" s="2"/>
      <c r="MO2" s="8" t="s">
        <v>13</v>
      </c>
      <c r="MP2" s="8" t="s">
        <v>58</v>
      </c>
      <c r="MQ2" s="53" t="s">
        <v>114</v>
      </c>
      <c r="MR2" s="28" t="s">
        <v>17</v>
      </c>
      <c r="MS2" s="28" t="s">
        <v>72</v>
      </c>
      <c r="MT2" s="52" t="s">
        <v>114</v>
      </c>
      <c r="MU2" s="28" t="s">
        <v>57</v>
      </c>
      <c r="MV2" s="52" t="s">
        <v>114</v>
      </c>
      <c r="MW2" s="1" t="s">
        <v>14</v>
      </c>
      <c r="MX2" s="50" t="s">
        <v>114</v>
      </c>
      <c r="MY2" s="1" t="s">
        <v>15</v>
      </c>
      <c r="MZ2" s="32" t="s">
        <v>16</v>
      </c>
      <c r="NA2" s="50" t="s">
        <v>114</v>
      </c>
      <c r="NB2" s="2" t="s">
        <v>16</v>
      </c>
      <c r="NC2" s="2"/>
      <c r="ND2" s="8" t="s">
        <v>13</v>
      </c>
      <c r="NE2" s="8" t="s">
        <v>58</v>
      </c>
      <c r="NF2" s="53" t="s">
        <v>114</v>
      </c>
      <c r="NG2" s="28" t="s">
        <v>17</v>
      </c>
      <c r="NH2" s="28" t="s">
        <v>72</v>
      </c>
      <c r="NI2" s="52" t="s">
        <v>114</v>
      </c>
      <c r="NJ2" s="1" t="s">
        <v>14</v>
      </c>
      <c r="NK2" s="50" t="s">
        <v>114</v>
      </c>
      <c r="NL2" s="1" t="s">
        <v>15</v>
      </c>
      <c r="NM2" s="32" t="s">
        <v>16</v>
      </c>
      <c r="NN2" s="50" t="s">
        <v>114</v>
      </c>
      <c r="NO2" s="2" t="s">
        <v>16</v>
      </c>
      <c r="NP2" s="50" t="s">
        <v>114</v>
      </c>
      <c r="NQ2" s="3" t="s">
        <v>80</v>
      </c>
      <c r="NR2" s="3" t="s">
        <v>81</v>
      </c>
      <c r="NS2" s="3" t="s">
        <v>79</v>
      </c>
      <c r="NT2" s="3"/>
      <c r="NU2" s="8" t="s">
        <v>13</v>
      </c>
      <c r="NV2" s="8" t="s">
        <v>58</v>
      </c>
      <c r="NW2" s="53" t="s">
        <v>114</v>
      </c>
      <c r="NX2" s="28" t="s">
        <v>17</v>
      </c>
      <c r="NY2" s="28" t="s">
        <v>72</v>
      </c>
      <c r="NZ2" s="52" t="s">
        <v>114</v>
      </c>
      <c r="OA2" s="28" t="s">
        <v>57</v>
      </c>
      <c r="OB2" s="52" t="s">
        <v>114</v>
      </c>
      <c r="OC2" s="1" t="s">
        <v>14</v>
      </c>
      <c r="OD2" s="50" t="s">
        <v>114</v>
      </c>
      <c r="OE2" s="1" t="s">
        <v>15</v>
      </c>
      <c r="OF2" s="32" t="s">
        <v>16</v>
      </c>
      <c r="OG2" s="50" t="s">
        <v>114</v>
      </c>
      <c r="OH2" s="2" t="s">
        <v>16</v>
      </c>
      <c r="OI2" s="2"/>
      <c r="OJ2" s="8" t="s">
        <v>13</v>
      </c>
      <c r="OK2" s="8" t="s">
        <v>58</v>
      </c>
      <c r="OL2" s="53" t="s">
        <v>114</v>
      </c>
      <c r="OM2" s="28" t="s">
        <v>17</v>
      </c>
      <c r="ON2" s="28" t="s">
        <v>72</v>
      </c>
      <c r="OO2" s="52" t="s">
        <v>114</v>
      </c>
      <c r="OP2" s="28" t="s">
        <v>57</v>
      </c>
      <c r="OQ2" s="52" t="s">
        <v>114</v>
      </c>
      <c r="OR2" s="1" t="s">
        <v>14</v>
      </c>
      <c r="OS2" s="50" t="s">
        <v>114</v>
      </c>
      <c r="OT2" s="1" t="s">
        <v>15</v>
      </c>
      <c r="OU2" s="32" t="s">
        <v>16</v>
      </c>
      <c r="OV2" s="50" t="s">
        <v>114</v>
      </c>
      <c r="OW2" s="2" t="s">
        <v>16</v>
      </c>
      <c r="OX2" s="81" t="s">
        <v>261</v>
      </c>
      <c r="OY2" s="81" t="s">
        <v>262</v>
      </c>
      <c r="OZ2" s="77" t="s">
        <v>227</v>
      </c>
      <c r="PA2" s="2" t="s">
        <v>227</v>
      </c>
      <c r="PB2" s="50" t="s">
        <v>114</v>
      </c>
      <c r="PC2" s="7" t="s">
        <v>228</v>
      </c>
      <c r="PD2" s="81" t="s">
        <v>229</v>
      </c>
      <c r="PE2" s="81" t="s">
        <v>230</v>
      </c>
      <c r="PF2" s="7" t="s">
        <v>231</v>
      </c>
      <c r="PG2" s="2" t="s">
        <v>232</v>
      </c>
      <c r="PH2" s="2" t="s">
        <v>232</v>
      </c>
      <c r="PI2" s="50" t="s">
        <v>114</v>
      </c>
      <c r="PJ2" s="7" t="s">
        <v>263</v>
      </c>
      <c r="PK2" s="81" t="s">
        <v>264</v>
      </c>
      <c r="PL2" s="81" t="s">
        <v>265</v>
      </c>
      <c r="PM2" s="85" t="s">
        <v>266</v>
      </c>
      <c r="PN2" s="7"/>
      <c r="PO2" s="5" t="s">
        <v>13</v>
      </c>
      <c r="PP2" s="5" t="s">
        <v>58</v>
      </c>
      <c r="PQ2" s="5" t="s">
        <v>114</v>
      </c>
      <c r="PR2" s="25" t="s">
        <v>17</v>
      </c>
      <c r="PS2" s="28" t="s">
        <v>72</v>
      </c>
      <c r="PT2" s="8" t="s">
        <v>114</v>
      </c>
      <c r="PU2" s="28" t="s">
        <v>57</v>
      </c>
      <c r="PV2" s="8" t="s">
        <v>114</v>
      </c>
      <c r="PW2" s="1" t="s">
        <v>14</v>
      </c>
      <c r="PX2" s="5" t="s">
        <v>114</v>
      </c>
      <c r="PY2" s="1" t="s">
        <v>15</v>
      </c>
      <c r="PZ2" s="32" t="s">
        <v>16</v>
      </c>
      <c r="QA2" s="100" t="s">
        <v>114</v>
      </c>
      <c r="QB2" s="2" t="s">
        <v>16</v>
      </c>
    </row>
    <row r="3" spans="1:444">
      <c r="A3" s="23">
        <v>1</v>
      </c>
      <c r="B3" s="5">
        <v>1</v>
      </c>
      <c r="C3" s="47">
        <v>0</v>
      </c>
      <c r="D3" s="25">
        <f>IF(B3,baseBetterNumbers(C3*$CY3),IF(A3,D2,0))</f>
        <v>0</v>
      </c>
      <c r="E3" s="25">
        <f>D3</f>
        <v>0</v>
      </c>
      <c r="F3" s="47">
        <v>1</v>
      </c>
      <c r="G3" s="25">
        <f>IF(B3,baseBetterNumbers(F3*$DB3),IF(A3,G2,0))</f>
        <v>3</v>
      </c>
      <c r="H3" s="47">
        <v>0</v>
      </c>
      <c r="I3" s="25">
        <f>IF(B3,baseBetterNumbers(H3*$DD3),IF(A3,I2,0))</f>
        <v>0</v>
      </c>
      <c r="J3" s="2">
        <v>0</v>
      </c>
      <c r="K3" s="25">
        <f>IF(B3,baseBetterNumbers(J3*$DG3),IF(A3,K2,0))</f>
        <v>0</v>
      </c>
      <c r="L3" s="33" t="str">
        <f>secToTime(N3)</f>
        <v>0h 0m</v>
      </c>
      <c r="M3" s="46">
        <v>0</v>
      </c>
      <c r="N3" s="25">
        <f>IF(B3,baseBetterNumbers(M3*$DK3),IF(A3,N2,0))</f>
        <v>0</v>
      </c>
      <c r="O3" s="7">
        <v>0.8</v>
      </c>
      <c r="P3" s="3">
        <f>baseBetterNumbers(O3*EC3)</f>
        <v>960</v>
      </c>
      <c r="Q3" s="3">
        <f>baseBetterNumbers(O3*FN3)</f>
        <v>960</v>
      </c>
      <c r="R3" s="3">
        <f>baseBetterNumbers(O3*GY3)</f>
        <v>0</v>
      </c>
      <c r="S3" s="3">
        <v>40</v>
      </c>
      <c r="T3" s="38">
        <v>1E-3</v>
      </c>
      <c r="U3" s="38">
        <v>5.0000000000000002E-5</v>
      </c>
      <c r="V3" s="38">
        <v>5.0000000000000002E-5</v>
      </c>
      <c r="W3" s="38">
        <v>5.0000000000000002E-5</v>
      </c>
      <c r="X3" s="3">
        <v>1</v>
      </c>
      <c r="Y3" s="3"/>
      <c r="Z3" s="3"/>
      <c r="AA3" s="3"/>
      <c r="AB3" s="3"/>
      <c r="AC3" s="3">
        <f>EH3+FS3+D3</f>
        <v>4</v>
      </c>
      <c r="AD3" s="3" t="e">
        <f>-AC3+E3+AJ3*DR3+AL3*EI3+AN3*FC3+AP3*FT3+AR3*GN3+AT3*HE3+AV3*HY3+AX3*IO3+AZ3*JG3+BD3*KK3+BF3*KZ3+BH3*LO3+BJ3*MD3+BL3*MS3+BP3*NH3+BR3*NY3+BT3*ON3+BV3*#REF!+BX3*#REF!+BZ3*PS3+#REF!*#REF!+#REF!*#REF!</f>
        <v>#REF!</v>
      </c>
      <c r="AE3" s="3"/>
      <c r="AF3" s="3"/>
      <c r="AG3" s="3" t="e">
        <f>SUM(AI3)</f>
        <v>#REF!</v>
      </c>
      <c r="AH3" s="3">
        <f>BD3+BF3+BH3+BJ3</f>
        <v>1</v>
      </c>
      <c r="AI3" s="3" t="e">
        <f>AK3+AM3+AO3+AQ3+AS3+AU3+AW3+AY3+BA3+BE3+BG3+BI3+BK3+BM3+BO3+BQ3+BS3+BU3+BW3+BY3+CA3+#REF!+#REF!</f>
        <v>#REF!</v>
      </c>
      <c r="AJ3" s="3">
        <f>SUM(AK3)</f>
        <v>1</v>
      </c>
      <c r="AK3" s="3">
        <v>1</v>
      </c>
      <c r="AL3" s="3">
        <f>SUM(AM3)</f>
        <v>1</v>
      </c>
      <c r="AM3" s="3">
        <v>1</v>
      </c>
      <c r="AN3" s="3">
        <f>SUM(AO3)</f>
        <v>1</v>
      </c>
      <c r="AO3" s="3">
        <v>1</v>
      </c>
      <c r="AP3" s="3">
        <f>SUM(AQ3)</f>
        <v>1</v>
      </c>
      <c r="AQ3" s="3">
        <v>1</v>
      </c>
      <c r="AR3" s="3">
        <f>SUM(AS3)</f>
        <v>0</v>
      </c>
      <c r="AS3" s="3"/>
      <c r="AT3" s="3">
        <f>SUM(AU3)</f>
        <v>0</v>
      </c>
      <c r="AU3" s="3"/>
      <c r="AV3" s="3">
        <f>SUM(AW3)</f>
        <v>1</v>
      </c>
      <c r="AW3" s="3">
        <v>1</v>
      </c>
      <c r="AX3" s="3">
        <f>SUM(AY3)</f>
        <v>0</v>
      </c>
      <c r="AY3" s="3"/>
      <c r="AZ3" s="3">
        <f>SUM(BA3)</f>
        <v>0</v>
      </c>
      <c r="BA3" s="3"/>
      <c r="BB3" s="3">
        <f>SUM(BC3)</f>
        <v>0</v>
      </c>
      <c r="BC3" s="3">
        <v>0</v>
      </c>
      <c r="BD3" s="3">
        <f>SUM(BE3)</f>
        <v>1</v>
      </c>
      <c r="BE3" s="3">
        <v>1</v>
      </c>
      <c r="BF3" s="3">
        <f>SUM(BG3)</f>
        <v>0</v>
      </c>
      <c r="BG3" s="3"/>
      <c r="BH3" s="3">
        <f>SUM(BI3)</f>
        <v>0</v>
      </c>
      <c r="BI3" s="3"/>
      <c r="BJ3" s="3">
        <f>SUM(BK3)</f>
        <v>0</v>
      </c>
      <c r="BK3" s="3"/>
      <c r="BL3" s="3">
        <f>SUM(BM3)</f>
        <v>0</v>
      </c>
      <c r="BM3" s="3"/>
      <c r="BN3" s="3">
        <f>SUM(BO3)</f>
        <v>0</v>
      </c>
      <c r="BO3" s="3"/>
      <c r="BP3" s="3">
        <f>SUM(BQ3)</f>
        <v>0</v>
      </c>
      <c r="BQ3" s="3"/>
      <c r="BR3" s="3">
        <f>SUM(BS3)</f>
        <v>0</v>
      </c>
      <c r="BS3" s="3"/>
      <c r="BT3" s="3">
        <f>SUM(BU3)</f>
        <v>0</v>
      </c>
      <c r="BU3" s="3"/>
      <c r="BV3" s="3">
        <f>SUM(BW3)</f>
        <v>0</v>
      </c>
      <c r="BW3" s="3"/>
      <c r="BX3" s="3">
        <f>SUM(BY3)</f>
        <v>0</v>
      </c>
      <c r="BY3" s="3"/>
      <c r="BZ3" s="3">
        <f>SUM(CA3)</f>
        <v>0</v>
      </c>
      <c r="CA3" s="3"/>
      <c r="CC3" s="1">
        <f t="shared" ref="CC3:CC17" si="0">AL3*ET3</f>
        <v>100</v>
      </c>
      <c r="CD3" s="1">
        <f t="shared" ref="CD3:CD17" si="1">AJ3*EC3+P3</f>
        <v>2160</v>
      </c>
      <c r="CE3" s="1">
        <f t="shared" ref="CE3:CE17" si="2">AL3*EV3</f>
        <v>400</v>
      </c>
      <c r="CF3" s="12">
        <f t="shared" ref="CF3:CF17" si="3">CE3/CC3</f>
        <v>4</v>
      </c>
      <c r="CG3" s="12">
        <f>CD3/CE3</f>
        <v>5.4</v>
      </c>
      <c r="CI3" s="1">
        <f t="shared" ref="CI3:CI17" si="4">AP3*GE3</f>
        <v>100</v>
      </c>
      <c r="CJ3" s="1">
        <f t="shared" ref="CJ3:CJ17" si="5">Q3+AN3*FN3</f>
        <v>2160</v>
      </c>
      <c r="CK3" s="1">
        <f t="shared" ref="CK3:CK17" si="6">AP3*GG3</f>
        <v>400</v>
      </c>
      <c r="CL3" s="12">
        <f>CK3/CI3</f>
        <v>4</v>
      </c>
      <c r="CM3" s="12">
        <f>CJ3/CK3</f>
        <v>5.4</v>
      </c>
      <c r="CO3" s="1">
        <f t="shared" ref="CO3:CO17" si="7">AT3*HP3</f>
        <v>0</v>
      </c>
      <c r="CP3" s="1">
        <f t="shared" ref="CP3:CP17" si="8">GY3*AR3+R3</f>
        <v>0</v>
      </c>
      <c r="CQ3" s="1">
        <f t="shared" ref="CQ3:CQ17" si="9">AT3*HR3</f>
        <v>0</v>
      </c>
      <c r="CR3" s="12">
        <f>IF(CO3,CQ3/CO3,0)</f>
        <v>0</v>
      </c>
      <c r="CS3" s="12">
        <f>IF(CQ3,CP3/CQ3,0)</f>
        <v>0</v>
      </c>
      <c r="CV3" s="5">
        <v>1</v>
      </c>
      <c r="CW3" s="5">
        <v>1</v>
      </c>
      <c r="CX3" s="47">
        <v>4</v>
      </c>
      <c r="CY3" s="25">
        <f t="shared" ref="CY3:CY17" si="10">baseBetterNumbers(DK3*CX3/100)</f>
        <v>2</v>
      </c>
      <c r="CZ3" s="25">
        <f>CY3</f>
        <v>2</v>
      </c>
      <c r="DA3" s="47"/>
      <c r="DB3" s="25">
        <v>3</v>
      </c>
      <c r="DC3" s="47"/>
      <c r="DD3" s="1">
        <v>100</v>
      </c>
      <c r="DE3" s="20">
        <f>DD3/$CJ3</f>
        <v>4.6296296296296294E-2</v>
      </c>
      <c r="DF3" s="2"/>
      <c r="DG3" s="1">
        <v>0</v>
      </c>
      <c r="DH3" s="20">
        <v>0</v>
      </c>
      <c r="DI3" s="33" t="str">
        <f>secToTime(DK3)</f>
        <v>0h 1m</v>
      </c>
      <c r="DJ3" s="46"/>
      <c r="DK3" s="45">
        <v>60</v>
      </c>
      <c r="DN3" s="5">
        <v>1</v>
      </c>
      <c r="DO3" s="5">
        <v>1</v>
      </c>
      <c r="DP3" s="47">
        <v>1</v>
      </c>
      <c r="DQ3" s="25">
        <f>IF(DO3,baseBetterNumbers(DP3*$CY3),IF(DN3,DQ2,0))</f>
        <v>2</v>
      </c>
      <c r="DR3" s="25">
        <f>DQ3</f>
        <v>2</v>
      </c>
      <c r="DS3" s="47">
        <v>1</v>
      </c>
      <c r="DT3" s="25">
        <f>IF(DO3,baseBetterNumbers(DS3*$DB3),IF(DN3,DT2,0))</f>
        <v>3</v>
      </c>
      <c r="DU3" s="47">
        <v>1</v>
      </c>
      <c r="DV3" s="25">
        <f>IF(DO3,baseBetterNumbers(DU3*$DD3),IF(DN3,DV2,0))</f>
        <v>100</v>
      </c>
      <c r="DW3" s="2">
        <v>1</v>
      </c>
      <c r="DX3" s="25">
        <f>IF(DO3,baseBetterNumbers(DW3*$DG3),IF(DN3,DX2,0))</f>
        <v>0</v>
      </c>
      <c r="DY3" s="33" t="str">
        <f>secToTime(EA3)</f>
        <v>0h 1m</v>
      </c>
      <c r="DZ3" s="46">
        <v>1</v>
      </c>
      <c r="EA3" s="25">
        <f>IF(DO3,baseBetterNumbers(DZ3*$DK3),IF(DN3,EA2,0))</f>
        <v>60</v>
      </c>
      <c r="EB3" s="45">
        <v>3</v>
      </c>
      <c r="EC3" s="1">
        <f>EB3*EV3</f>
        <v>1200</v>
      </c>
      <c r="EE3" s="5">
        <v>1</v>
      </c>
      <c r="EF3" s="5">
        <v>1</v>
      </c>
      <c r="EG3" s="47">
        <v>1</v>
      </c>
      <c r="EH3" s="25">
        <f>IF(EF3,baseBetterNumbers(EG3*$CY3),IF(EE3,EH2,0))</f>
        <v>2</v>
      </c>
      <c r="EI3" s="25">
        <f>EH3</f>
        <v>2</v>
      </c>
      <c r="EJ3" s="47">
        <v>1</v>
      </c>
      <c r="EK3" s="25">
        <f>IF(EF3,baseBetterNumbers(EJ3*$DB3),IF(EE3,EK2,0))</f>
        <v>3</v>
      </c>
      <c r="EL3" s="47">
        <v>0.5</v>
      </c>
      <c r="EM3" s="25">
        <f>IF(EF3,baseBetterNumbers(EL3*$DD3),IF(EE3,EM2,0))</f>
        <v>50</v>
      </c>
      <c r="EN3" s="2">
        <v>1</v>
      </c>
      <c r="EO3" s="25">
        <f>IF(EF3,baseBetterNumbers(EN3*$DG3),IF(EE3,EO2,0))</f>
        <v>0</v>
      </c>
      <c r="EP3" s="33" t="str">
        <f>secToTime(ER3)</f>
        <v>0h 1m</v>
      </c>
      <c r="EQ3" s="46">
        <v>1</v>
      </c>
      <c r="ER3" s="25">
        <f>IF(EF3,baseBetterNumbers(EQ3*$DK3),IF(EE3,ER2,0))</f>
        <v>60</v>
      </c>
      <c r="ES3" s="42">
        <v>1</v>
      </c>
      <c r="ET3" s="5">
        <f>baseBetterNumbers(ES3*$DD3)</f>
        <v>100</v>
      </c>
      <c r="EU3" s="43">
        <v>4</v>
      </c>
      <c r="EV3" s="1">
        <f>baseBetterNumbers(ET3*EU3)</f>
        <v>400</v>
      </c>
      <c r="EW3" s="6" t="str">
        <f>secToTime(EV3*3600/ET3)</f>
        <v>4h 0m</v>
      </c>
      <c r="EY3" s="5">
        <v>1</v>
      </c>
      <c r="EZ3" s="5">
        <v>1</v>
      </c>
      <c r="FA3" s="47">
        <v>1</v>
      </c>
      <c r="FB3" s="25">
        <f>IF(EZ3,baseBetterNumbers(FA3*$CY3),IF(EY3-1,FB2,0))</f>
        <v>2</v>
      </c>
      <c r="FC3" s="25">
        <f>FB3</f>
        <v>2</v>
      </c>
      <c r="FD3" s="47">
        <v>1</v>
      </c>
      <c r="FE3" s="25">
        <f>IF(EZ3,baseBetterNumbers(FD3*$DB3),IF(EY3-1,FE2,0))</f>
        <v>3</v>
      </c>
      <c r="FF3" s="47">
        <v>1</v>
      </c>
      <c r="FG3" s="25">
        <f>IF(EZ3,baseBetterNumbers(FF3*$DD3),IF(EY3-1,FG2,0))</f>
        <v>100</v>
      </c>
      <c r="FH3" s="2">
        <v>1</v>
      </c>
      <c r="FI3" s="25">
        <f>IF(EZ3,baseBetterNumbers(FH3*$DG3),IF(EY3-1,FI2,0))</f>
        <v>0</v>
      </c>
      <c r="FJ3" s="33" t="str">
        <f>secToTime(FL3)</f>
        <v>0h 1m</v>
      </c>
      <c r="FK3" s="46">
        <v>1</v>
      </c>
      <c r="FL3" s="25">
        <f>IF(EZ3,baseBetterNumbers(FK3*$DK3),IF(EY3-1,FL2,0))</f>
        <v>60</v>
      </c>
      <c r="FM3" s="45">
        <v>3</v>
      </c>
      <c r="FN3" s="1">
        <f>FM3*GG3</f>
        <v>1200</v>
      </c>
      <c r="FP3" s="5">
        <v>1</v>
      </c>
      <c r="FQ3" s="5">
        <v>1</v>
      </c>
      <c r="FR3" s="47">
        <v>1</v>
      </c>
      <c r="FS3" s="25">
        <f>IF(FQ3,baseBetterNumbers(FR3*$CY3),IF(FP3-1,FS2,0))</f>
        <v>2</v>
      </c>
      <c r="FT3" s="25">
        <f>FS3</f>
        <v>2</v>
      </c>
      <c r="FU3" s="47">
        <v>1</v>
      </c>
      <c r="FV3" s="25">
        <f>IF(FQ3,baseBetterNumbers(FU3*$DB3),IF(FP3-1,FV2,0))</f>
        <v>3</v>
      </c>
      <c r="FW3" s="47">
        <v>0.5</v>
      </c>
      <c r="FX3" s="25">
        <f>IF(FQ3,baseBetterNumbers(FW3*$DD3),IF(FP3-1,FX2,0))</f>
        <v>50</v>
      </c>
      <c r="FY3" s="2">
        <v>1</v>
      </c>
      <c r="FZ3" s="25">
        <f>IF(FQ3,baseBetterNumbers(FY3*$DG3),IF(FP3-1,FZ2,0))</f>
        <v>0</v>
      </c>
      <c r="GA3" s="33" t="str">
        <f>secToTime(GC3)</f>
        <v>0h 1m</v>
      </c>
      <c r="GB3" s="46">
        <v>1</v>
      </c>
      <c r="GC3" s="25">
        <f>IF(FQ3,baseBetterNumbers(GB3*$DK3),IF(FP3-1,GC2,0))</f>
        <v>60</v>
      </c>
      <c r="GD3" s="42">
        <v>1</v>
      </c>
      <c r="GE3" s="5">
        <f>baseBetterNumbers(GD3*$DD3)</f>
        <v>100</v>
      </c>
      <c r="GF3" s="43">
        <v>4</v>
      </c>
      <c r="GG3" s="1">
        <f>baseBetterNumbers(GE3*GF3)</f>
        <v>400</v>
      </c>
      <c r="GH3" s="6" t="str">
        <f>secToTime(GG3*3600/GE3)</f>
        <v>4h 0m</v>
      </c>
      <c r="GJ3" s="5">
        <v>0</v>
      </c>
      <c r="GK3" s="5">
        <v>0</v>
      </c>
      <c r="GL3" s="47">
        <v>1</v>
      </c>
      <c r="GM3" s="25">
        <f>IF(GK3,baseBetterNumbers(GL3*$CY3),IF(GJ3,GM2,0))</f>
        <v>0</v>
      </c>
      <c r="GN3" s="25">
        <f>GM3</f>
        <v>0</v>
      </c>
      <c r="GO3" s="47">
        <v>1</v>
      </c>
      <c r="GP3" s="25">
        <f>IF(GK3,baseBetterNumbers(GO3*$DB3),IF(GJ3,GP2,0))</f>
        <v>0</v>
      </c>
      <c r="GQ3" s="47">
        <v>1</v>
      </c>
      <c r="GR3" s="25">
        <f>IF(GK3,baseBetterNumbers(GQ3*$DD3),IF(GJ3,GR2,0))</f>
        <v>0</v>
      </c>
      <c r="GS3" s="2">
        <v>1</v>
      </c>
      <c r="GT3" s="25">
        <f>IF(GK3,baseBetterNumbers(GS3*$DG3),IF(GJ3,GT2,0))</f>
        <v>0</v>
      </c>
      <c r="GU3" s="33" t="str">
        <f>secToTime(GW3)</f>
        <v>0h 0m</v>
      </c>
      <c r="GV3" s="46">
        <v>1</v>
      </c>
      <c r="GW3" s="25">
        <f>IF(GK3,baseBetterNumbers(GV3*$DK3),IF(GJ3,GW2,0))</f>
        <v>0</v>
      </c>
      <c r="GX3" s="45">
        <v>3</v>
      </c>
      <c r="GY3" s="1">
        <f>GX3*HR3</f>
        <v>0</v>
      </c>
      <c r="HA3" s="5">
        <v>0</v>
      </c>
      <c r="HB3" s="5">
        <v>0</v>
      </c>
      <c r="HC3" s="47">
        <v>1</v>
      </c>
      <c r="HD3" s="25">
        <f>IF(HB3,baseBetterNumbers(HC3*$CY3),IF(HA3,HD2,0))</f>
        <v>0</v>
      </c>
      <c r="HE3" s="25">
        <f>HD3</f>
        <v>0</v>
      </c>
      <c r="HF3" s="47">
        <v>1</v>
      </c>
      <c r="HG3" s="25">
        <f>IF(HB3,baseBetterNumbers(HF3*$DB3),IF(HA3,HG2,0))</f>
        <v>0</v>
      </c>
      <c r="HH3" s="47">
        <v>0.5</v>
      </c>
      <c r="HI3" s="25">
        <f>IF(HB3,baseBetterNumbers(HH3*$DD3),IF(HA3,HI2,0))</f>
        <v>0</v>
      </c>
      <c r="HJ3" s="2">
        <v>1</v>
      </c>
      <c r="HK3" s="25">
        <f>IF(HB3,baseBetterNumbers(HJ3*$DG3),IF(HA3,HK2,0))</f>
        <v>0</v>
      </c>
      <c r="HL3" s="33" t="str">
        <f>secToTime(HN3)</f>
        <v>0h 0m</v>
      </c>
      <c r="HM3" s="46">
        <v>1</v>
      </c>
      <c r="HN3" s="25">
        <f>IF(HB3,baseBetterNumbers(HM3*$DK3),IF(HA3,HN2,0))</f>
        <v>0</v>
      </c>
      <c r="HO3" s="42">
        <v>0</v>
      </c>
      <c r="HP3" s="5">
        <f>baseBetterNumbers(HO3*$DD3)</f>
        <v>0</v>
      </c>
      <c r="HQ3" s="43">
        <v>4</v>
      </c>
      <c r="HR3" s="1">
        <f>baseBetterNumbers(HP3*HQ3)</f>
        <v>0</v>
      </c>
      <c r="HS3" s="6" t="e">
        <f>secToTime(HR3*3600/HP3)</f>
        <v>#VALUE!</v>
      </c>
      <c r="HU3" s="5">
        <v>1</v>
      </c>
      <c r="HV3" s="5">
        <v>1</v>
      </c>
      <c r="HW3" s="47">
        <v>1</v>
      </c>
      <c r="HX3" s="25">
        <f>IF(HV3,baseBetterNumbers(HW3*$CY3),IF(HU3,HX2,0))</f>
        <v>2</v>
      </c>
      <c r="HY3" s="25">
        <f>HX3</f>
        <v>2</v>
      </c>
      <c r="HZ3" s="47">
        <v>2</v>
      </c>
      <c r="IA3" s="25">
        <f>IF(HV3,baseBetterNumbers(HZ3*$DB3),IF(HU3,IA2,0))</f>
        <v>6</v>
      </c>
      <c r="IB3" s="47">
        <v>2.5</v>
      </c>
      <c r="IC3" s="25">
        <f>IF(HV3,baseBetterNumbers(IB3*$DD3),IF(HU3,IC2,0))</f>
        <v>250</v>
      </c>
      <c r="ID3" s="2">
        <v>2.5</v>
      </c>
      <c r="IE3" s="25">
        <f>IF(HV3,baseBetterNumbers(ID3*$DG3),IF(HU3,IE2,0))</f>
        <v>0</v>
      </c>
      <c r="IF3" s="33" t="str">
        <f>secToTime(IH3)</f>
        <v>0h 1m</v>
      </c>
      <c r="IG3" s="46">
        <v>1</v>
      </c>
      <c r="IH3" s="25">
        <f>IF(HV3,baseBetterNumbers(IG3*$DK3),IF(HU3,IH2,0))</f>
        <v>60</v>
      </c>
      <c r="IK3" s="5">
        <v>0</v>
      </c>
      <c r="IL3" s="5">
        <v>0</v>
      </c>
      <c r="IM3" s="47">
        <v>1</v>
      </c>
      <c r="IN3" s="25">
        <f>IF(IL3,baseBetterNumbers(IM3*$CY3),IF(IK3,IN2,0))</f>
        <v>0</v>
      </c>
      <c r="IO3" s="25">
        <f>IN3</f>
        <v>0</v>
      </c>
      <c r="IP3" s="47">
        <v>2</v>
      </c>
      <c r="IQ3" s="25">
        <f>IF(IL3,baseBetterNumbers(IP3*$DB3),IF(IK3,IQ2,0))</f>
        <v>0</v>
      </c>
      <c r="IR3" s="47">
        <v>2.5</v>
      </c>
      <c r="IS3" s="25">
        <f>IF(IL3,baseBetterNumbers(IR3*$DD3),IF(IK3,IS2,0))</f>
        <v>0</v>
      </c>
      <c r="IT3" s="2">
        <v>2.5</v>
      </c>
      <c r="IU3" s="25">
        <f>IF(IL3,baseBetterNumbers(IT3*$DG3),IF(IK3,IU2,0))</f>
        <v>0</v>
      </c>
      <c r="IV3" s="33" t="str">
        <f>secToTime(IX3)</f>
        <v>0h 0m</v>
      </c>
      <c r="IW3" s="46">
        <v>1</v>
      </c>
      <c r="IX3" s="25">
        <f>IF(IL3,baseBetterNumbers(IW3*$DK3),IF(IK3,IX2,0))</f>
        <v>0</v>
      </c>
      <c r="IY3" s="25">
        <v>0</v>
      </c>
      <c r="IZ3" s="25">
        <v>0</v>
      </c>
      <c r="JA3" s="25">
        <v>0</v>
      </c>
      <c r="JB3" s="7"/>
      <c r="JC3" s="5">
        <v>0</v>
      </c>
      <c r="JD3" s="5">
        <v>0</v>
      </c>
      <c r="JE3" s="47">
        <v>1</v>
      </c>
      <c r="JF3" s="25">
        <f>IF(JD3,baseBetterNumbers(JE3*$CY3),IF(JC3,JF2,0))</f>
        <v>0</v>
      </c>
      <c r="JG3" s="25">
        <f>JF3</f>
        <v>0</v>
      </c>
      <c r="JH3" s="47">
        <v>2</v>
      </c>
      <c r="JI3" s="25">
        <f>IF(JD3,baseBetterNumbers(JH3*$DB3),IF(JC3,JI2,0))</f>
        <v>0</v>
      </c>
      <c r="JJ3" s="47">
        <v>2.5</v>
      </c>
      <c r="JK3" s="25">
        <f>IF(JD3,baseBetterNumbers(JJ3*$DD3),IF(JC3,JK2,0))</f>
        <v>0</v>
      </c>
      <c r="JL3" s="2">
        <v>2.5</v>
      </c>
      <c r="JM3" s="25">
        <f>IF(JD3,baseBetterNumbers(JL3*$DG3),IF(JC3,JM2,0))</f>
        <v>0</v>
      </c>
      <c r="JN3" s="33" t="str">
        <f>secToTime(JP3)</f>
        <v>0h 0m</v>
      </c>
      <c r="JO3" s="46">
        <v>1</v>
      </c>
      <c r="JP3" s="25">
        <f>IF(JD3,baseBetterNumbers(JO3*$DK3),IF(JC3,JP2,0))</f>
        <v>0</v>
      </c>
      <c r="JQ3" s="7"/>
      <c r="JR3" s="5">
        <v>0</v>
      </c>
      <c r="JS3" s="5">
        <v>0</v>
      </c>
      <c r="JT3" s="47">
        <v>1</v>
      </c>
      <c r="JU3" s="25">
        <f>IF(JS3,baseBetterNumbers(JT3*$CY3),IF(JR3,JU2,0))</f>
        <v>0</v>
      </c>
      <c r="JV3" s="25">
        <f>JU3</f>
        <v>0</v>
      </c>
      <c r="JW3" s="47">
        <v>1</v>
      </c>
      <c r="JX3" s="25">
        <f>IF(JS3,baseBetterNumbers(JW3*$DB3),IF(JR3,JX2,0))</f>
        <v>0</v>
      </c>
      <c r="JY3" s="47">
        <v>1.5</v>
      </c>
      <c r="JZ3" s="25">
        <f>IF(JS3,baseBetterNumbers(JY3*$DD3),IF(JR3,JZ2,0))</f>
        <v>0</v>
      </c>
      <c r="KA3" s="2">
        <v>1.5</v>
      </c>
      <c r="KB3" s="25">
        <f>IF(JS3,baseBetterNumbers(KA3*$DG3),IF(JR3,KB2,0))</f>
        <v>0</v>
      </c>
      <c r="KC3" s="33" t="str">
        <f>secToTime(KE3)</f>
        <v>0h 0m</v>
      </c>
      <c r="KD3" s="46">
        <v>1</v>
      </c>
      <c r="KE3" s="25">
        <f>IF(JS3,baseBetterNumbers(KD3*$DK3),IF(JR3,KE2,0))</f>
        <v>0</v>
      </c>
      <c r="KF3" s="7"/>
      <c r="KG3" s="5">
        <v>1</v>
      </c>
      <c r="KH3" s="5">
        <v>1</v>
      </c>
      <c r="KI3" s="47">
        <v>1</v>
      </c>
      <c r="KJ3" s="25">
        <f>IF(KH3,baseBetterNumbers(KI3*$CY3),IF(KG3-1,KJ2,0))</f>
        <v>2</v>
      </c>
      <c r="KK3" s="25">
        <f>KJ3</f>
        <v>2</v>
      </c>
      <c r="KL3" s="47">
        <v>1</v>
      </c>
      <c r="KM3" s="25">
        <f>IF(KH3,baseBetterNumbers(KL3*$DB3),IF(KG3-1,KM2,0))</f>
        <v>3</v>
      </c>
      <c r="KN3" s="47">
        <v>1.5</v>
      </c>
      <c r="KO3" s="25">
        <f>IF(KH3,baseBetterNumbers(KN3*$DD3),IF(KG3-1,KO2,0))</f>
        <v>150</v>
      </c>
      <c r="KP3" s="2">
        <v>1.5</v>
      </c>
      <c r="KQ3" s="25">
        <f>IF(KH3,baseBetterNumbers(KP3*$DG3),IF(KG3-1,KQ2,0))</f>
        <v>0</v>
      </c>
      <c r="KR3" s="33" t="str">
        <f>secToTime(KT3)</f>
        <v>0h 1m</v>
      </c>
      <c r="KS3" s="46">
        <v>1</v>
      </c>
      <c r="KT3" s="25">
        <f>IF(KH3,baseBetterNumbers(KS3*$DK3),IF(KG3-1,KT2,0))</f>
        <v>60</v>
      </c>
      <c r="KU3" s="7"/>
      <c r="KV3" s="5">
        <v>0</v>
      </c>
      <c r="KW3" s="5">
        <v>0</v>
      </c>
      <c r="KX3" s="47">
        <v>1</v>
      </c>
      <c r="KY3" s="25">
        <f>IF(KW3,baseBetterNumbers(KX3*$CY3),IF(KV3,KY2,0))</f>
        <v>0</v>
      </c>
      <c r="KZ3" s="25">
        <f>KY3</f>
        <v>0</v>
      </c>
      <c r="LA3" s="47">
        <v>1</v>
      </c>
      <c r="LB3" s="25">
        <f>IF(KW3,baseBetterNumbers(LA3*$DB3),IF(KV3,LB2,0))</f>
        <v>0</v>
      </c>
      <c r="LC3" s="47">
        <v>1.5</v>
      </c>
      <c r="LD3" s="25">
        <f>IF(KW3,baseBetterNumbers(LC3*$DD3),IF(KV3,LD2,0))</f>
        <v>0</v>
      </c>
      <c r="LE3" s="2">
        <v>1.5</v>
      </c>
      <c r="LF3" s="25">
        <f>IF(KW3,baseBetterNumbers(LE3*$DG3),IF(KV3,LF2,0))</f>
        <v>0</v>
      </c>
      <c r="LG3" s="33" t="str">
        <f>secToTime(LI3)</f>
        <v>0h 0m</v>
      </c>
      <c r="LH3" s="46">
        <v>1</v>
      </c>
      <c r="LI3" s="25">
        <f>IF(KW3,baseBetterNumbers(LH3*$DK3),IF(KV3,LI2,0))</f>
        <v>0</v>
      </c>
      <c r="LJ3" s="7"/>
      <c r="LK3" s="5">
        <v>0</v>
      </c>
      <c r="LL3" s="5">
        <v>0</v>
      </c>
      <c r="LM3" s="47">
        <v>1</v>
      </c>
      <c r="LN3" s="25">
        <f>IF(LL3,baseBetterNumbers(LM3*$CY3),IF(LK3,LN2,0))</f>
        <v>0</v>
      </c>
      <c r="LO3" s="25">
        <f>LN3</f>
        <v>0</v>
      </c>
      <c r="LP3" s="47">
        <v>1</v>
      </c>
      <c r="LQ3" s="25">
        <f>IF(LL3,baseBetterNumbers(LP3*$DB3),IF(LK3,LQ2,0))</f>
        <v>0</v>
      </c>
      <c r="LR3" s="47">
        <v>1.5</v>
      </c>
      <c r="LS3" s="25">
        <f>IF(LL3,baseBetterNumbers(LR3*$DD3),IF(LK3,LS2,0))</f>
        <v>0</v>
      </c>
      <c r="LT3" s="2">
        <v>1.5</v>
      </c>
      <c r="LU3" s="25">
        <f>IF(LL3,baseBetterNumbers(LT3*$DG3),IF(LK3,LU2,0))</f>
        <v>0</v>
      </c>
      <c r="LV3" s="33" t="str">
        <f>secToTime(LX3)</f>
        <v>0h 0m</v>
      </c>
      <c r="LW3" s="46">
        <v>1</v>
      </c>
      <c r="LX3" s="25">
        <f>IF(LL3,baseBetterNumbers(LW3*$DK3),IF(LK3,LX2,0))</f>
        <v>0</v>
      </c>
      <c r="LY3" s="7"/>
      <c r="LZ3" s="5">
        <v>0</v>
      </c>
      <c r="MA3" s="5">
        <v>0</v>
      </c>
      <c r="MB3" s="47">
        <v>1</v>
      </c>
      <c r="MC3" s="25">
        <f>IF(MA3,baseBetterNumbers(MB3*$CY3),IF(LZ3,MC2,0))</f>
        <v>0</v>
      </c>
      <c r="MD3" s="25">
        <f>MC3</f>
        <v>0</v>
      </c>
      <c r="ME3" s="47">
        <v>1</v>
      </c>
      <c r="MF3" s="25">
        <f>IF(MA3,baseBetterNumbers(ME3*$DB3),IF(LZ3,MF2,0))</f>
        <v>0</v>
      </c>
      <c r="MG3" s="47">
        <v>1.5</v>
      </c>
      <c r="MH3" s="25">
        <f>IF(MA3,baseBetterNumbers(MG3*$DD3),IF(LZ3,MH2,0))</f>
        <v>0</v>
      </c>
      <c r="MI3" s="2">
        <v>1.5</v>
      </c>
      <c r="MJ3" s="25">
        <f>IF(MA3,baseBetterNumbers(MI3*$DG3),IF(LZ3,MJ2,0))</f>
        <v>0</v>
      </c>
      <c r="MK3" s="33" t="str">
        <f>secToTime(MM3)</f>
        <v>0h 0m</v>
      </c>
      <c r="ML3" s="46">
        <v>1</v>
      </c>
      <c r="MM3" s="25">
        <f>IF(MA3,baseBetterNumbers(ML3*$DK3),IF(LZ3,MM2,0))</f>
        <v>0</v>
      </c>
      <c r="MN3" s="7"/>
      <c r="MO3" s="5">
        <v>0</v>
      </c>
      <c r="MP3" s="5">
        <v>0</v>
      </c>
      <c r="MQ3" s="47">
        <v>1</v>
      </c>
      <c r="MR3" s="25">
        <f>IF(MP3,baseBetterNumbers(MQ3*$CY3),IF(MO3,MR2,0))</f>
        <v>0</v>
      </c>
      <c r="MS3" s="25">
        <f>MR3</f>
        <v>0</v>
      </c>
      <c r="MT3" s="47">
        <v>1</v>
      </c>
      <c r="MU3" s="25">
        <f>IF(MP3,baseBetterNumbers(MT3*$DB3),IF(MO3,MU2,0))</f>
        <v>0</v>
      </c>
      <c r="MV3" s="47">
        <v>1.5</v>
      </c>
      <c r="MW3" s="25">
        <f>IF(MP3,baseBetterNumbers(MV3*$DD3),IF(MO3,MW2,0))</f>
        <v>0</v>
      </c>
      <c r="MX3" s="2">
        <v>1.5</v>
      </c>
      <c r="MY3" s="25">
        <f>IF(MP3,baseBetterNumbers(MX3*$DG3),IF(MO3,MY2,0))</f>
        <v>0</v>
      </c>
      <c r="MZ3" s="33" t="str">
        <f>secToTime(NB3)</f>
        <v>0h 0m</v>
      </c>
      <c r="NA3" s="46">
        <v>1</v>
      </c>
      <c r="NB3" s="25">
        <f>IF(MP3,baseBetterNumbers(NA3*$DK3),IF(MO3,NB2,0))</f>
        <v>0</v>
      </c>
      <c r="NC3" s="7"/>
      <c r="ND3" s="5">
        <v>0</v>
      </c>
      <c r="NE3" s="5">
        <v>0</v>
      </c>
      <c r="NF3" s="47">
        <v>1</v>
      </c>
      <c r="NG3" s="25">
        <f>IF(NE3,baseBetterNumbers(NF3*$CY3),IF(ND3,NG2,0))</f>
        <v>0</v>
      </c>
      <c r="NH3" s="25">
        <f>NG3</f>
        <v>0</v>
      </c>
      <c r="NI3" s="47">
        <v>1.5</v>
      </c>
      <c r="NJ3" s="25">
        <f>IF(NE3,baseBetterNumbers(NI3*$DD3),IF(ND3,NJ2,0))</f>
        <v>0</v>
      </c>
      <c r="NK3" s="2">
        <v>1.5</v>
      </c>
      <c r="NL3" s="25">
        <f>IF(NE3,baseBetterNumbers(NK3*$DG3),IF(ND3,NL2,0))</f>
        <v>0</v>
      </c>
      <c r="NM3" s="33" t="str">
        <f>secToTime(NO3)</f>
        <v>0h 0m</v>
      </c>
      <c r="NN3" s="46">
        <v>1</v>
      </c>
      <c r="NO3" s="25">
        <f>IF(NE3,baseBetterNumbers(NN3*$DK3),IF(ND3,NO2,0))</f>
        <v>0</v>
      </c>
      <c r="NP3" s="47"/>
      <c r="NQ3" s="1">
        <v>0</v>
      </c>
      <c r="NS3" s="1" t="e">
        <f>G3+AJ3*DT3+AL3*EK3+AN3*FE3+AP3*FV3+AR3*GP3+AT3*HG3+AV3*IA3+AX3*IQ3+AZ3*JI3+BD3*KM3+BF3*LB3+BH3*LQ3+BJ3*MF3+BL3*MU3+BR3*OA3+BT3*OP3+BV3*#REF!+BX3*#REF!+BZ3*PU3+#REF!*#REF!+#REF!*#REF!</f>
        <v>#REF!</v>
      </c>
      <c r="NU3" s="5">
        <v>0</v>
      </c>
      <c r="NV3" s="5">
        <v>0</v>
      </c>
      <c r="NW3" s="47">
        <v>1</v>
      </c>
      <c r="NX3" s="25">
        <f>IF(NV3,baseBetterNumbers(NW3*$CY3),IF(NU3,NX2,0))</f>
        <v>0</v>
      </c>
      <c r="NY3" s="25">
        <f>NX3</f>
        <v>0</v>
      </c>
      <c r="NZ3" s="47">
        <v>1</v>
      </c>
      <c r="OA3" s="25">
        <f>IF(NV3,baseBetterNumbers(NZ3*$DB3),IF(NU3,OA2,0))</f>
        <v>0</v>
      </c>
      <c r="OB3" s="47">
        <v>2.5</v>
      </c>
      <c r="OC3" s="25">
        <f>IF(NV3,baseBetterNumbers(OB3*$DD3),IF(NU3,OC2,0))</f>
        <v>0</v>
      </c>
      <c r="OD3" s="2">
        <v>1.5</v>
      </c>
      <c r="OE3" s="25">
        <f>IF(NV3,baseBetterNumbers(OD3*$DG3),IF(NU3,OE2,0))</f>
        <v>0</v>
      </c>
      <c r="OF3" s="33" t="str">
        <f>secToTime(OH3)</f>
        <v>0h 0m</v>
      </c>
      <c r="OG3" s="46">
        <v>1</v>
      </c>
      <c r="OH3" s="25">
        <f>IF(NV3,baseBetterNumbers(OG3*$DK3),IF(NU3,OH2,0))</f>
        <v>0</v>
      </c>
      <c r="OI3" s="7"/>
      <c r="OJ3" s="5">
        <v>0</v>
      </c>
      <c r="OK3" s="5">
        <v>0</v>
      </c>
      <c r="OL3" s="47">
        <v>1</v>
      </c>
      <c r="OM3" s="25">
        <f>IF(OK3,baseBetterNumbers(OL3*$CY3),IF(OJ3,OM2,0))</f>
        <v>0</v>
      </c>
      <c r="ON3" s="25">
        <f>OM3</f>
        <v>0</v>
      </c>
      <c r="OO3" s="47">
        <v>1</v>
      </c>
      <c r="OP3" s="25">
        <f>IF(OK3,baseBetterNumbers(OO3*$DB3),IF(OJ3,OP2,0))</f>
        <v>0</v>
      </c>
      <c r="OQ3" s="47">
        <v>2.5</v>
      </c>
      <c r="OR3" s="25">
        <f>IF(OK3,baseBetterNumbers(OQ3*$DD3),IF(OJ3,OR2,0))</f>
        <v>0</v>
      </c>
      <c r="OS3" s="2">
        <v>1.5</v>
      </c>
      <c r="OT3" s="25">
        <f>IF(OK3,baseBetterNumbers(OS3*$DG3),IF(OJ3,OT2,0))</f>
        <v>0</v>
      </c>
      <c r="OU3" s="33" t="str">
        <f>secToTime(OW3)</f>
        <v>0h 0m</v>
      </c>
      <c r="OV3" s="46">
        <v>1</v>
      </c>
      <c r="OW3" s="25">
        <f>IF(OK3,baseBetterNumbers(OV3*$DK3),IF(OJ3,OW2,0))</f>
        <v>0</v>
      </c>
      <c r="OX3" s="82"/>
      <c r="OY3" s="82"/>
      <c r="OZ3" s="78"/>
      <c r="PA3" s="25"/>
      <c r="PB3" s="47"/>
      <c r="PC3" s="25"/>
      <c r="PD3" s="82"/>
      <c r="PE3" s="82"/>
      <c r="PF3" s="25"/>
      <c r="PG3" s="25"/>
      <c r="PH3" s="25"/>
      <c r="PI3" s="47"/>
      <c r="PJ3" s="25"/>
      <c r="PK3" s="82"/>
      <c r="PL3" s="82"/>
      <c r="PM3" s="82"/>
      <c r="PN3" s="25"/>
      <c r="PO3" s="5">
        <v>0</v>
      </c>
      <c r="PP3" s="5">
        <v>0</v>
      </c>
      <c r="PQ3" s="5"/>
      <c r="PR3" s="25">
        <v>0</v>
      </c>
      <c r="PS3" s="25">
        <f>PR3</f>
        <v>0</v>
      </c>
      <c r="PT3" s="25"/>
      <c r="PU3" s="25">
        <v>0</v>
      </c>
      <c r="PV3" s="25"/>
      <c r="PW3" s="1">
        <v>0</v>
      </c>
      <c r="PY3" s="1">
        <v>0</v>
      </c>
      <c r="PZ3" s="33" t="str">
        <f>secToTime(QB3)</f>
        <v>0h 0m</v>
      </c>
      <c r="QA3" s="33"/>
      <c r="QB3" s="7">
        <f>cioUpTime(Conf!E$57,A3,PW3)</f>
        <v>0</v>
      </c>
    </row>
    <row r="4" spans="1:444">
      <c r="A4" s="23">
        <f>IF(B4,A3+1,A3)</f>
        <v>2</v>
      </c>
      <c r="B4" s="5">
        <v>1</v>
      </c>
      <c r="C4" s="47">
        <v>0</v>
      </c>
      <c r="D4" s="25">
        <f>IF(B4,baseBetterNumbers(C4*$CY4),IF(A4-1,D3,0))</f>
        <v>0</v>
      </c>
      <c r="E4" s="25">
        <f>IF(B4,D4+E3,E3)</f>
        <v>0</v>
      </c>
      <c r="F4" s="47">
        <v>1</v>
      </c>
      <c r="G4" s="25">
        <f>IF(B4,baseBetterNumbers(F4*$DB4),IF(A4-1,G3,0))</f>
        <v>4</v>
      </c>
      <c r="H4" s="47">
        <v>4</v>
      </c>
      <c r="I4" s="25">
        <f>IF(B4,baseBetterNumbers(H4*$DD4),IF(A4-1,I3,0))</f>
        <v>800</v>
      </c>
      <c r="J4" s="2">
        <v>3</v>
      </c>
      <c r="K4" s="25">
        <f>IF(B4,baseBetterNumbers(J4*$DG4),IF(A4-1,K3,0))</f>
        <v>0</v>
      </c>
      <c r="L4" s="33" t="str">
        <f t="shared" ref="L4:L17" si="11">secToTime(N4)</f>
        <v>0h 15m</v>
      </c>
      <c r="M4" s="46">
        <v>1</v>
      </c>
      <c r="N4" s="25">
        <f>IF(B4,baseBetterNumbers(M4*$DK4),IF(A4-1,N3,0))</f>
        <v>900</v>
      </c>
      <c r="O4" s="7">
        <f>O3</f>
        <v>0.8</v>
      </c>
      <c r="P4" s="3">
        <f>baseBetterNumbers(O4*EC4)</f>
        <v>1920</v>
      </c>
      <c r="Q4" s="3">
        <f>baseBetterNumbers(O4*FN4)</f>
        <v>1920</v>
      </c>
      <c r="R4" s="3">
        <f>baseBetterNumbers(O4*GY4)</f>
        <v>0</v>
      </c>
      <c r="S4" s="3">
        <v>40</v>
      </c>
      <c r="T4" s="38">
        <v>1.5E-3</v>
      </c>
      <c r="U4" s="38">
        <v>1E-4</v>
      </c>
      <c r="V4" s="38">
        <v>1E-4</v>
      </c>
      <c r="W4" s="38">
        <v>1E-4</v>
      </c>
      <c r="X4" s="3">
        <v>1</v>
      </c>
      <c r="Y4" s="3"/>
      <c r="Z4" s="3"/>
      <c r="AA4" s="3"/>
      <c r="AB4" s="3"/>
      <c r="AC4" s="3"/>
      <c r="AD4" s="3" t="e">
        <f>-AC4+E4+AJ4*DR4+AL4*EI4+AN4*FC4+AP4*FT4+AR4*GN4+AT4*HE4+AV4*HY4+AX4*IO4+AZ4*JG4+BD4*KK4+BF4*KZ4+BH4*LO4+BJ4*MD4+BL4*MS4+BP4*NH4+BR4*NY4+BT4*ON4+BV4*#REF!+BX4*#REF!+BZ4*PS4+#REF!*#REF!+#REF!*#REF!</f>
        <v>#REF!</v>
      </c>
      <c r="AE4" s="3" t="e">
        <f>AD4-AD3</f>
        <v>#REF!</v>
      </c>
      <c r="AF4" s="3"/>
      <c r="AG4" s="3" t="e">
        <f>SUM(AI3:AI4)</f>
        <v>#REF!</v>
      </c>
      <c r="AH4" s="3">
        <f t="shared" ref="AH4:AH17" si="12">BD4+BF4+BH4+BJ4</f>
        <v>2</v>
      </c>
      <c r="AI4" s="3" t="e">
        <f>AK4+AM4+AO4+AQ4+AS4+AU4+AW4+AY4+BA4+BE4+BG4+BI4+BK4+BM4+BO4+BQ4+BS4+BU4+BW4+BY4+CA4+#REF!+#REF!</f>
        <v>#REF!</v>
      </c>
      <c r="AJ4" s="3">
        <f>SUM(AK3:AK4)</f>
        <v>1</v>
      </c>
      <c r="AK4" s="3"/>
      <c r="AL4" s="3">
        <f>SUM(AM3:AM4)</f>
        <v>1</v>
      </c>
      <c r="AM4" s="3"/>
      <c r="AN4" s="3">
        <f>SUM(AO3:AO4)</f>
        <v>1</v>
      </c>
      <c r="AO4" s="3"/>
      <c r="AP4" s="3">
        <f>SUM(AQ3:AQ4)</f>
        <v>2</v>
      </c>
      <c r="AQ4" s="3">
        <v>1</v>
      </c>
      <c r="AR4" s="3">
        <f>SUM(AS3:AS4)</f>
        <v>0</v>
      </c>
      <c r="AS4" s="3"/>
      <c r="AT4" s="3">
        <f>SUM(AU3:AU4)</f>
        <v>0</v>
      </c>
      <c r="AU4" s="3"/>
      <c r="AV4" s="3">
        <f>SUM(AW3:AW4)</f>
        <v>1</v>
      </c>
      <c r="AW4" s="3"/>
      <c r="AX4" s="3">
        <f>SUM(AY3:AY4)</f>
        <v>0</v>
      </c>
      <c r="AY4" s="3"/>
      <c r="AZ4" s="3">
        <f>SUM(BA3:BA4)</f>
        <v>0</v>
      </c>
      <c r="BA4" s="3"/>
      <c r="BB4" s="3">
        <f>SUM(BC3:BC4)</f>
        <v>2</v>
      </c>
      <c r="BC4" s="3">
        <v>2</v>
      </c>
      <c r="BD4" s="3">
        <f>SUM(BE3:BE4)</f>
        <v>2</v>
      </c>
      <c r="BE4" s="3">
        <v>1</v>
      </c>
      <c r="BF4" s="3">
        <f>SUM(BG3:BG4)</f>
        <v>0</v>
      </c>
      <c r="BG4" s="3"/>
      <c r="BH4" s="3">
        <f>SUM(BI3:BI4)</f>
        <v>0</v>
      </c>
      <c r="BI4" s="3"/>
      <c r="BJ4" s="3">
        <f>SUM(BK3:BK4)</f>
        <v>0</v>
      </c>
      <c r="BK4" s="3"/>
      <c r="BL4" s="3">
        <f>SUM(BM3:BM4)</f>
        <v>0</v>
      </c>
      <c r="BM4" s="24"/>
      <c r="BN4" s="3">
        <f>SUM(BO3:BO4)</f>
        <v>0</v>
      </c>
      <c r="BO4" s="3"/>
      <c r="BP4" s="3">
        <f>SUM(BQ3:BQ4)</f>
        <v>1</v>
      </c>
      <c r="BQ4" s="24">
        <v>1</v>
      </c>
      <c r="BR4" s="3">
        <f>SUM(BS3:BS4)</f>
        <v>0</v>
      </c>
      <c r="BS4" s="3"/>
      <c r="BT4" s="3">
        <f>SUM(BU3:BU4)</f>
        <v>0</v>
      </c>
      <c r="BU4" s="3"/>
      <c r="BV4" s="3">
        <f>SUM(BW3:BW4)</f>
        <v>0</v>
      </c>
      <c r="BW4" s="3"/>
      <c r="BX4" s="3">
        <f>SUM(BY3:BY4)</f>
        <v>0</v>
      </c>
      <c r="BY4" s="3"/>
      <c r="BZ4" s="3">
        <f>SUM(CA3:CA4)</f>
        <v>0</v>
      </c>
      <c r="CA4" s="3"/>
      <c r="CC4" s="1">
        <f t="shared" si="0"/>
        <v>200</v>
      </c>
      <c r="CD4" s="1">
        <f t="shared" si="1"/>
        <v>4320</v>
      </c>
      <c r="CE4" s="1">
        <f t="shared" si="2"/>
        <v>800</v>
      </c>
      <c r="CF4" s="12">
        <f t="shared" si="3"/>
        <v>4</v>
      </c>
      <c r="CG4" s="12">
        <f t="shared" ref="CG4:CG17" si="13">CD4/CE4</f>
        <v>5.4</v>
      </c>
      <c r="CI4" s="1">
        <f t="shared" si="4"/>
        <v>400</v>
      </c>
      <c r="CJ4" s="1">
        <f t="shared" si="5"/>
        <v>4320</v>
      </c>
      <c r="CK4" s="1">
        <f t="shared" si="6"/>
        <v>1600</v>
      </c>
      <c r="CL4" s="12">
        <f t="shared" ref="CL4:CL17" si="14">CK4/CI4</f>
        <v>4</v>
      </c>
      <c r="CM4" s="12">
        <f t="shared" ref="CM4:CM17" si="15">CJ4/CK4</f>
        <v>2.7</v>
      </c>
      <c r="CO4" s="1">
        <f t="shared" si="7"/>
        <v>0</v>
      </c>
      <c r="CP4" s="1">
        <f t="shared" si="8"/>
        <v>0</v>
      </c>
      <c r="CQ4" s="1">
        <f t="shared" si="9"/>
        <v>0</v>
      </c>
      <c r="CR4" s="12">
        <f t="shared" ref="CR4:CR17" si="16">IF(CO4,CQ4/CO4,0)</f>
        <v>0</v>
      </c>
      <c r="CS4" s="12">
        <f t="shared" ref="CS4:CS17" si="17">IF(CQ4,CP4/CQ4,0)</f>
        <v>0</v>
      </c>
      <c r="CV4" s="8">
        <f t="shared" ref="CV4:CV17" si="18">IF(CW4,CV3+1,CV3)</f>
        <v>2</v>
      </c>
      <c r="CW4" s="5">
        <v>1</v>
      </c>
      <c r="CX4" s="45">
        <v>1</v>
      </c>
      <c r="CY4" s="25">
        <f t="shared" si="10"/>
        <v>9</v>
      </c>
      <c r="CZ4" s="25">
        <f t="shared" ref="CZ4:CZ17" si="19">IF(CW4,CY4+CZ3,CZ3)</f>
        <v>11</v>
      </c>
      <c r="DA4" s="47">
        <v>1.5</v>
      </c>
      <c r="DB4" s="3">
        <f t="shared" ref="DB4:DB17" si="20">IF(CW4,baseBetterNumbers(DB3*DA4),DB3)</f>
        <v>4</v>
      </c>
      <c r="DC4" s="3">
        <v>2</v>
      </c>
      <c r="DD4" s="3">
        <f t="shared" ref="DD4:DD17" si="21">IF(CW4,baseBetterNumbers(DD3*DC4),DD3)</f>
        <v>200</v>
      </c>
      <c r="DE4" s="20">
        <f t="shared" ref="DE4:DE17" si="22">DD4/$CJ4</f>
        <v>4.6296296296296294E-2</v>
      </c>
      <c r="DF4" s="2"/>
      <c r="DG4" s="3">
        <f>IF(CW4,cioCFTiPrice(DG3,CV4),DG3)</f>
        <v>0</v>
      </c>
      <c r="DH4" s="20">
        <v>0</v>
      </c>
      <c r="DI4" s="33" t="str">
        <f t="shared" ref="DI4:DI17" si="23">secToTime(DK4)</f>
        <v>0h 15m</v>
      </c>
      <c r="DJ4" s="46">
        <v>15</v>
      </c>
      <c r="DK4" s="28">
        <f t="shared" ref="DK4:DK17" si="24">IF(CW4,DK3*DJ4,DK3)</f>
        <v>900</v>
      </c>
      <c r="DN4" s="8">
        <f>IF(DO4,DN3+1,DN3)</f>
        <v>2</v>
      </c>
      <c r="DO4" s="5">
        <v>1</v>
      </c>
      <c r="DP4" s="47">
        <v>1</v>
      </c>
      <c r="DQ4" s="25">
        <f t="shared" ref="DQ4:DQ17" si="25">IF(DO4,baseBetterNumbers(DP4*$CY4),IF(DN4-1,DQ3,0))</f>
        <v>9</v>
      </c>
      <c r="DR4" s="25">
        <f>IF(DO4,DQ4+DR3,DR3)</f>
        <v>11</v>
      </c>
      <c r="DS4" s="47">
        <v>1</v>
      </c>
      <c r="DT4" s="25">
        <f t="shared" ref="DT4:DT17" si="26">IF(DO4,baseBetterNumbers(DS4*$DB4),IF(DN4-1,DT3,0))</f>
        <v>4</v>
      </c>
      <c r="DU4" s="47">
        <v>1</v>
      </c>
      <c r="DV4" s="25">
        <f t="shared" ref="DV4:DV17" si="27">IF(DO4,baseBetterNumbers(DU4*$DD4),IF(DN4-1,DV3,0))</f>
        <v>200</v>
      </c>
      <c r="DW4" s="2">
        <v>1</v>
      </c>
      <c r="DX4" s="25">
        <f t="shared" ref="DX4:DX17" si="28">IF(DO4,baseBetterNumbers(DW4*$DG4),IF(DN4-1,DX3,0))</f>
        <v>0</v>
      </c>
      <c r="DY4" s="33" t="str">
        <f t="shared" ref="DY4:DY17" si="29">secToTime(EA4)</f>
        <v>0h 15m</v>
      </c>
      <c r="DZ4" s="46">
        <v>1</v>
      </c>
      <c r="EA4" s="25">
        <f t="shared" ref="EA4:EA17" si="30">IF(DO4,baseBetterNumbers(DZ4*$DK4),IF(DN4-1,EA3,0))</f>
        <v>900</v>
      </c>
      <c r="EB4" s="45">
        <v>3</v>
      </c>
      <c r="EC4" s="1">
        <f t="shared" ref="EC4:EC17" si="31">IF(DO4,baseBetterNumbers(EB4*EV4),EC3)</f>
        <v>2400</v>
      </c>
      <c r="EE4" s="8">
        <f>IF(EF4,EE3+1,EE3)</f>
        <v>2</v>
      </c>
      <c r="EF4" s="5">
        <v>1</v>
      </c>
      <c r="EG4" s="47">
        <v>1</v>
      </c>
      <c r="EH4" s="25">
        <f t="shared" ref="EH4:EH17" si="32">IF(EF4,baseBetterNumbers(EG4*$CY4),IF(EE4-1,EH3,0))</f>
        <v>9</v>
      </c>
      <c r="EI4" s="25">
        <f>IF(EF4,EH4+EI3,EI3)</f>
        <v>11</v>
      </c>
      <c r="EJ4" s="47">
        <v>1</v>
      </c>
      <c r="EK4" s="25">
        <f t="shared" ref="EK4:EK17" si="33">IF(EF4,baseBetterNumbers(EJ4*$DB4),IF(EE4-1,EK3,0))</f>
        <v>4</v>
      </c>
      <c r="EL4" s="47">
        <v>0.5</v>
      </c>
      <c r="EM4" s="25">
        <f t="shared" ref="EM4:EM17" si="34">IF(EF4,baseBetterNumbers(EL4*$DD4),IF(EE4-1,EM3,0))</f>
        <v>100</v>
      </c>
      <c r="EN4" s="2">
        <v>1</v>
      </c>
      <c r="EO4" s="25">
        <f t="shared" ref="EO4:EO17" si="35">IF(EF4,baseBetterNumbers(EN4*$DG4),IF(EE4-1,EO3,0))</f>
        <v>0</v>
      </c>
      <c r="EP4" s="33" t="str">
        <f t="shared" ref="EP4:EP17" si="36">secToTime(ER4)</f>
        <v>0h 15m</v>
      </c>
      <c r="EQ4" s="46">
        <v>1</v>
      </c>
      <c r="ER4" s="25">
        <f t="shared" ref="ER4:ER17" si="37">IF(EF4,baseBetterNumbers(EQ4*$DK4),IF(EE4-1,ER3,0))</f>
        <v>900</v>
      </c>
      <c r="ES4" s="45">
        <v>2</v>
      </c>
      <c r="ET4" s="3">
        <f t="shared" ref="ET4:ET17" si="38">IF(EF4,baseBetterNumbers(ET3*ES4),ET3)</f>
        <v>200</v>
      </c>
      <c r="EU4" s="7">
        <v>2</v>
      </c>
      <c r="EV4" s="3">
        <f t="shared" ref="EV4:EV17" si="39">IF(EF4,baseBetterNumbers(EV3*EU4),EV3)</f>
        <v>800</v>
      </c>
      <c r="EW4" s="6" t="str">
        <f t="shared" ref="EW4:EW17" si="40">secToTime(EV4*3600/ET4)</f>
        <v>4h 0m</v>
      </c>
      <c r="EY4" s="8">
        <f>IF(EZ4,EY3+1,EY3)</f>
        <v>2</v>
      </c>
      <c r="EZ4" s="5">
        <v>1</v>
      </c>
      <c r="FA4" s="47">
        <v>1</v>
      </c>
      <c r="FB4" s="25">
        <f t="shared" ref="FB4:FB17" si="41">IF(EZ4,baseBetterNumbers(FA4*$CY4),IF(EY4-1,FB3,0))</f>
        <v>9</v>
      </c>
      <c r="FC4" s="25">
        <f>IF(EZ4,FB4+FC3,FC3)</f>
        <v>11</v>
      </c>
      <c r="FD4" s="47">
        <v>1</v>
      </c>
      <c r="FE4" s="25">
        <f t="shared" ref="FE4:FE17" si="42">IF(EZ4,baseBetterNumbers(FD4*$DB4),IF(EY4-1,FE3,0))</f>
        <v>4</v>
      </c>
      <c r="FF4" s="47">
        <v>1</v>
      </c>
      <c r="FG4" s="25">
        <f t="shared" ref="FG4:FG17" si="43">IF(EZ4,baseBetterNumbers(FF4*$DD4),IF(EY4-1,FG3,0))</f>
        <v>200</v>
      </c>
      <c r="FH4" s="2">
        <v>1</v>
      </c>
      <c r="FI4" s="25">
        <f t="shared" ref="FI4:FI17" si="44">IF(EZ4,baseBetterNumbers(FH4*$DG4),IF(EY4-1,FI3,0))</f>
        <v>0</v>
      </c>
      <c r="FJ4" s="33" t="str">
        <f t="shared" ref="FJ4:FJ17" si="45">secToTime(FL4)</f>
        <v>0h 15m</v>
      </c>
      <c r="FK4" s="46">
        <v>1</v>
      </c>
      <c r="FL4" s="25">
        <f t="shared" ref="FL4:FL17" si="46">IF(EZ4,baseBetterNumbers(FK4*$DK4),IF(EY4-1,FL3,0))</f>
        <v>900</v>
      </c>
      <c r="FM4" s="45">
        <v>3</v>
      </c>
      <c r="FN4" s="1">
        <f t="shared" ref="FN4:FN17" si="47">IF(EZ4,baseBetterNumbers(FM4*GG4),FN3)</f>
        <v>2400</v>
      </c>
      <c r="FO4" s="3"/>
      <c r="FP4" s="8">
        <f>IF(FQ4,FP3+1,FP3)</f>
        <v>2</v>
      </c>
      <c r="FQ4" s="5">
        <v>1</v>
      </c>
      <c r="FR4" s="47">
        <v>1</v>
      </c>
      <c r="FS4" s="25">
        <f t="shared" ref="FS4:FS17" si="48">IF(FQ4,baseBetterNumbers(FR4*$CY4),IF(FP4-1,FS3,0))</f>
        <v>9</v>
      </c>
      <c r="FT4" s="25">
        <f>IF(FQ4,FS4+FT3,FT3)</f>
        <v>11</v>
      </c>
      <c r="FU4" s="47">
        <v>1</v>
      </c>
      <c r="FV4" s="25">
        <f t="shared" ref="FV4:FV17" si="49">IF(FQ4,baseBetterNumbers(FU4*$DB4),IF(FP4-1,FV3,0))</f>
        <v>4</v>
      </c>
      <c r="FW4" s="47">
        <v>0.5</v>
      </c>
      <c r="FX4" s="25">
        <f t="shared" ref="FX4:FX17" si="50">IF(FQ4,baseBetterNumbers(FW4*$DD4),IF(FP4-1,FX3,0))</f>
        <v>100</v>
      </c>
      <c r="FY4" s="2">
        <v>1</v>
      </c>
      <c r="FZ4" s="25">
        <f t="shared" ref="FZ4:FZ17" si="51">IF(FQ4,baseBetterNumbers(FY4*$DG4),IF(FP4-1,FZ3,0))</f>
        <v>0</v>
      </c>
      <c r="GA4" s="33" t="str">
        <f t="shared" ref="GA4:GA17" si="52">secToTime(GC4)</f>
        <v>0h 15m</v>
      </c>
      <c r="GB4" s="46">
        <v>1</v>
      </c>
      <c r="GC4" s="25">
        <f t="shared" ref="GC4:GC17" si="53">IF(FQ4,baseBetterNumbers(GB4*$DK4),IF(FP4-1,GC3,0))</f>
        <v>900</v>
      </c>
      <c r="GD4" s="45">
        <v>2</v>
      </c>
      <c r="GE4" s="3">
        <f t="shared" ref="GE4:GE17" si="54">IF(FQ4,baseBetterNumbers(GE3*GD4),GE3)</f>
        <v>200</v>
      </c>
      <c r="GF4" s="7">
        <v>2</v>
      </c>
      <c r="GG4" s="3">
        <f t="shared" ref="GG4:GG17" si="55">IF(FQ4,baseBetterNumbers(GG3*GF4),GG3)</f>
        <v>800</v>
      </c>
      <c r="GH4" s="6" t="str">
        <f t="shared" ref="GH4:GH17" si="56">secToTime(GG4*3600/GE4)</f>
        <v>4h 0m</v>
      </c>
      <c r="GJ4" s="8">
        <f>IF(GK4,GJ3+1,GJ3)</f>
        <v>0</v>
      </c>
      <c r="GK4" s="5">
        <v>0</v>
      </c>
      <c r="GL4" s="47">
        <v>1</v>
      </c>
      <c r="GM4" s="25">
        <f t="shared" ref="GM4:GM17" si="57">IF(GK4,baseBetterNumbers(GL4*$CY4),IF(GJ4-1,GM3,0))</f>
        <v>0</v>
      </c>
      <c r="GN4" s="25">
        <f>IF(GK4,GM4+GN3,GN3)</f>
        <v>0</v>
      </c>
      <c r="GO4" s="47">
        <v>1</v>
      </c>
      <c r="GP4" s="25">
        <f t="shared" ref="GP4:GP17" si="58">IF(GK4,baseBetterNumbers(GO4*$DB4),IF(GJ4-1,GP3,0))</f>
        <v>0</v>
      </c>
      <c r="GQ4" s="47">
        <v>1</v>
      </c>
      <c r="GR4" s="25">
        <f t="shared" ref="GR4:GR17" si="59">IF(GK4,baseBetterNumbers(GQ4*$DD4),IF(GJ4-1,GR3,0))</f>
        <v>0</v>
      </c>
      <c r="GS4" s="2">
        <v>1</v>
      </c>
      <c r="GT4" s="25">
        <f t="shared" ref="GT4:GT17" si="60">IF(GK4,baseBetterNumbers(GS4*$DG4),IF(GJ4-1,GT3,0))</f>
        <v>0</v>
      </c>
      <c r="GU4" s="33" t="str">
        <f t="shared" ref="GU4:GU17" si="61">secToTime(GW4)</f>
        <v>0h 0m</v>
      </c>
      <c r="GV4" s="46">
        <v>1</v>
      </c>
      <c r="GW4" s="25">
        <f t="shared" ref="GW4:GW17" si="62">IF(GK4,baseBetterNumbers(GV4*$DK4),IF(GJ4-1,GW3,0))</f>
        <v>0</v>
      </c>
      <c r="GX4" s="45">
        <v>3</v>
      </c>
      <c r="GY4" s="1">
        <f t="shared" ref="GY4:GY17" si="63">IF(GK4,baseBetterNumbers(GX4*HR4),GY3)</f>
        <v>0</v>
      </c>
      <c r="GZ4" s="3"/>
      <c r="HA4" s="8">
        <f>IF(HB4,HA3+1,HA3)</f>
        <v>0</v>
      </c>
      <c r="HB4" s="5">
        <v>0</v>
      </c>
      <c r="HC4" s="47">
        <v>1</v>
      </c>
      <c r="HD4" s="25">
        <f t="shared" ref="HD4:HD17" si="64">IF(HB4,baseBetterNumbers(HC4*$CY4),IF(HA4-1,HD3,0))</f>
        <v>0</v>
      </c>
      <c r="HE4" s="25">
        <f>IF(HB4,HD4+HE3,HE3)</f>
        <v>0</v>
      </c>
      <c r="HF4" s="47">
        <v>1</v>
      </c>
      <c r="HG4" s="25">
        <f t="shared" ref="HG4:HG17" si="65">IF(HB4,baseBetterNumbers(HF4*$DB4),IF(HA4-1,HG3,0))</f>
        <v>0</v>
      </c>
      <c r="HH4" s="47">
        <v>0.5</v>
      </c>
      <c r="HI4" s="25">
        <f t="shared" ref="HI4:HI17" si="66">IF(HB4,baseBetterNumbers(HH4*$DD4),IF(HA4-1,HI3,0))</f>
        <v>0</v>
      </c>
      <c r="HJ4" s="2">
        <v>1</v>
      </c>
      <c r="HK4" s="25">
        <f t="shared" ref="HK4:HK17" si="67">IF(HB4,baseBetterNumbers(HJ4*$DG4),IF(HA4-1,HK3,0))</f>
        <v>0</v>
      </c>
      <c r="HL4" s="33" t="str">
        <f t="shared" ref="HL4:HL17" si="68">secToTime(HN4)</f>
        <v>0h 0m</v>
      </c>
      <c r="HM4" s="46">
        <v>1</v>
      </c>
      <c r="HN4" s="25">
        <f t="shared" ref="HN4:HN17" si="69">IF(HB4,baseBetterNumbers(HM4*$DK4),IF(HA4-1,HN3,0))</f>
        <v>0</v>
      </c>
      <c r="HO4" s="42">
        <v>0</v>
      </c>
      <c r="HP4" s="3">
        <f>IF(HB4,baseBetterNumbers(HP3*HO4),HP3)</f>
        <v>0</v>
      </c>
      <c r="HQ4" s="7">
        <v>2</v>
      </c>
      <c r="HR4" s="3">
        <f>IF(HB4,baseBetterNumbers(HR3*HQ4),HR3)</f>
        <v>0</v>
      </c>
      <c r="HS4" s="6" t="e">
        <f t="shared" ref="HS4:HS17" si="70">secToTime(HR4*3600/HP4)</f>
        <v>#VALUE!</v>
      </c>
      <c r="HU4" s="8">
        <f>IF(HV4,HU3+1,HU3)</f>
        <v>2</v>
      </c>
      <c r="HV4" s="5">
        <v>1</v>
      </c>
      <c r="HW4" s="47">
        <v>1</v>
      </c>
      <c r="HX4" s="25">
        <f t="shared" ref="HX4:HX17" si="71">IF(HV4,baseBetterNumbers(HW4*$CY4),IF(HU4-1,HX3,0))</f>
        <v>9</v>
      </c>
      <c r="HY4" s="25">
        <f>IF(HV4,HX4+HY3,HY3)</f>
        <v>11</v>
      </c>
      <c r="HZ4" s="47">
        <v>2</v>
      </c>
      <c r="IA4" s="25">
        <f t="shared" ref="IA4:IA17" si="72">IF(HV4,baseBetterNumbers(HZ4*$DB4),IF(HU4-1,IA3,0))</f>
        <v>8</v>
      </c>
      <c r="IB4" s="47">
        <v>2.5</v>
      </c>
      <c r="IC4" s="25">
        <f t="shared" ref="IC4:IC17" si="73">IF(HV4,baseBetterNumbers(IB4*$DD4),IF(HU4-1,IC3,0))</f>
        <v>500</v>
      </c>
      <c r="ID4" s="2">
        <v>2.5</v>
      </c>
      <c r="IE4" s="25">
        <f t="shared" ref="IE4:IE17" si="74">IF(HV4,baseBetterNumbers(ID4*$DG4),IF(HU4-1,IE3,0))</f>
        <v>0</v>
      </c>
      <c r="IF4" s="33" t="str">
        <f t="shared" ref="IF4:IF17" si="75">secToTime(IH4)</f>
        <v>0h 30m</v>
      </c>
      <c r="IG4" s="46">
        <v>2</v>
      </c>
      <c r="IH4" s="25">
        <f t="shared" ref="IH4:IH17" si="76">IF(HV4,baseBetterNumbers(IG4*$DK4),IF(HU4-1,IH3,0))</f>
        <v>1800</v>
      </c>
      <c r="II4" s="3"/>
      <c r="IJ4" s="3"/>
      <c r="IK4" s="8">
        <f>IF(IL4,IK3+1,IK3)</f>
        <v>0</v>
      </c>
      <c r="IL4" s="5">
        <v>0</v>
      </c>
      <c r="IM4" s="47">
        <v>1</v>
      </c>
      <c r="IN4" s="25">
        <f t="shared" ref="IN4:IN17" si="77">IF(IL4,baseBetterNumbers(IM4*$CY4),IF(IK4-1,IN3,0))</f>
        <v>0</v>
      </c>
      <c r="IO4" s="25">
        <f>IF(IL4,IN4+IO3,IO3)</f>
        <v>0</v>
      </c>
      <c r="IP4" s="47">
        <v>2</v>
      </c>
      <c r="IQ4" s="25">
        <f t="shared" ref="IQ4:IQ17" si="78">IF(IL4,baseBetterNumbers(IP4*$DB4),IF(IK4-1,IQ3,0))</f>
        <v>0</v>
      </c>
      <c r="IR4" s="47">
        <v>2.5</v>
      </c>
      <c r="IS4" s="25">
        <f t="shared" ref="IS4:IS17" si="79">IF(IL4,baseBetterNumbers(IR4*$DD4),IF(IK4-1,IS3,0))</f>
        <v>0</v>
      </c>
      <c r="IT4" s="2">
        <v>2.5</v>
      </c>
      <c r="IU4" s="25">
        <f t="shared" ref="IU4:IU17" si="80">IF(IL4,baseBetterNumbers(IT4*$DG4),IF(IK4-1,IU3,0))</f>
        <v>0</v>
      </c>
      <c r="IV4" s="33" t="str">
        <f t="shared" ref="IV4:IV17" si="81">secToTime(IX4)</f>
        <v>0h 0m</v>
      </c>
      <c r="IW4" s="46">
        <v>2</v>
      </c>
      <c r="IX4" s="25">
        <f t="shared" ref="IX4:IX17" si="82">IF(IL4,baseBetterNumbers(IW4*$DK4),IF(IK4-1,IX3,0))</f>
        <v>0</v>
      </c>
      <c r="IY4" s="25">
        <v>0</v>
      </c>
      <c r="IZ4" s="25">
        <v>0</v>
      </c>
      <c r="JA4" s="25">
        <v>0</v>
      </c>
      <c r="JB4" s="7"/>
      <c r="JC4" s="8">
        <f>IF(JD4,JC3+1,JC3)</f>
        <v>0</v>
      </c>
      <c r="JD4" s="5">
        <v>0</v>
      </c>
      <c r="JE4" s="47">
        <v>1</v>
      </c>
      <c r="JF4" s="25">
        <f t="shared" ref="JF4:JF17" si="83">IF(JD4,baseBetterNumbers(JE4*$CY4),IF(JC4-1,JF3,0))</f>
        <v>0</v>
      </c>
      <c r="JG4" s="25">
        <f>IF(JD4,JF4+JG3,JG3)</f>
        <v>0</v>
      </c>
      <c r="JH4" s="47">
        <v>2</v>
      </c>
      <c r="JI4" s="25">
        <f t="shared" ref="JI4:JI17" si="84">IF(JD4,baseBetterNumbers(JH4*$DB4),IF(JC4-1,JI3,0))</f>
        <v>0</v>
      </c>
      <c r="JJ4" s="47">
        <v>2.5</v>
      </c>
      <c r="JK4" s="25">
        <f t="shared" ref="JK4:JK17" si="85">IF(JD4,baseBetterNumbers(JJ4*$DD4),IF(JC4-1,JK3,0))</f>
        <v>0</v>
      </c>
      <c r="JL4" s="2">
        <v>2.5</v>
      </c>
      <c r="JM4" s="25">
        <f t="shared" ref="JM4:JM17" si="86">IF(JD4,baseBetterNumbers(JL4*$DG4),IF(JC4-1,JM3,0))</f>
        <v>0</v>
      </c>
      <c r="JN4" s="33" t="str">
        <f t="shared" ref="JN4:JN17" si="87">secToTime(JP4)</f>
        <v>0h 0m</v>
      </c>
      <c r="JO4" s="46">
        <v>2</v>
      </c>
      <c r="JP4" s="25">
        <f t="shared" ref="JP4:JP17" si="88">IF(JD4,baseBetterNumbers(JO4*$DK4),IF(JC4-1,JP3,0))</f>
        <v>0</v>
      </c>
      <c r="JQ4" s="7"/>
      <c r="JR4" s="8">
        <f t="shared" ref="JR4:JR17" si="89">IF(JS4,JR3+1,JR3)</f>
        <v>1</v>
      </c>
      <c r="JS4" s="5">
        <v>1</v>
      </c>
      <c r="JT4" s="47">
        <v>0</v>
      </c>
      <c r="JU4" s="25">
        <f t="shared" ref="JU4:JU17" si="90">IF(JS4,baseBetterNumbers(JT4*$CY4),IF(JR4-1,JU3,0))</f>
        <v>0</v>
      </c>
      <c r="JV4" s="25">
        <f>IF(JS4,JU4+JV3,JV3)</f>
        <v>0</v>
      </c>
      <c r="JW4" s="47">
        <v>0</v>
      </c>
      <c r="JX4" s="25">
        <f t="shared" ref="JX4:JX17" si="91">IF(JS4,baseBetterNumbers(JW4*$DB4),IF(JR4-1,JX3,0))</f>
        <v>0</v>
      </c>
      <c r="JY4" s="47">
        <v>1.5</v>
      </c>
      <c r="JZ4" s="25">
        <v>1000</v>
      </c>
      <c r="KA4" s="2">
        <v>1.5</v>
      </c>
      <c r="KB4" s="25">
        <f t="shared" ref="KB4:KB17" si="92">IF(JS4,baseBetterNumbers(KA4*$DG4),IF(JR4-1,KB3,0))</f>
        <v>0</v>
      </c>
      <c r="KC4" s="33" t="str">
        <f t="shared" ref="KC4:KC17" si="93">secToTime(KE4)</f>
        <v>0h 0m</v>
      </c>
      <c r="KD4" s="46">
        <v>0</v>
      </c>
      <c r="KE4" s="25">
        <f t="shared" ref="KE4:KE17" si="94">IF(JS4,baseBetterNumbers(KD4*$DK4),IF(JR4-1,KE3,0))</f>
        <v>0</v>
      </c>
      <c r="KF4" s="7"/>
      <c r="KG4" s="8">
        <f>IF(KH4,KG3+1,KG3)</f>
        <v>2</v>
      </c>
      <c r="KH4" s="5">
        <v>1</v>
      </c>
      <c r="KI4" s="47">
        <v>1</v>
      </c>
      <c r="KJ4" s="25">
        <f t="shared" ref="KJ4:KJ17" si="95">IF(KH4,baseBetterNumbers(KI4*$CY4),IF(KG4-1,KJ3,0))</f>
        <v>9</v>
      </c>
      <c r="KK4" s="25">
        <f>IF(KH4,KJ4+KK3,KK3)</f>
        <v>11</v>
      </c>
      <c r="KL4" s="47">
        <v>1</v>
      </c>
      <c r="KM4" s="25">
        <f t="shared" ref="KM4:KM17" si="96">IF(KH4,baseBetterNumbers(KL4*$DB4),IF(KG4-1,KM3,0))</f>
        <v>4</v>
      </c>
      <c r="KN4" s="47">
        <v>1.5</v>
      </c>
      <c r="KO4" s="25">
        <f t="shared" ref="KO4:KO17" si="97">IF(KH4,baseBetterNumbers(KN4*$DD4),IF(KG4-1,KO3,0))</f>
        <v>300</v>
      </c>
      <c r="KP4" s="2">
        <v>1.5</v>
      </c>
      <c r="KQ4" s="25">
        <f t="shared" ref="KQ4:KQ17" si="98">IF(KH4,baseBetterNumbers(KP4*$DG4),IF(KG4-1,KQ3,0))</f>
        <v>0</v>
      </c>
      <c r="KR4" s="33" t="str">
        <f t="shared" ref="KR4:KR17" si="99">secToTime(KT4)</f>
        <v>0h 15m</v>
      </c>
      <c r="KS4" s="46">
        <v>1</v>
      </c>
      <c r="KT4" s="25">
        <f t="shared" ref="KT4:KT17" si="100">IF(KH4,baseBetterNumbers(KS4*$DK4),IF(KG4-1,KT3,0))</f>
        <v>900</v>
      </c>
      <c r="KU4" s="7"/>
      <c r="KV4" s="8">
        <f>IF(KW4,KV3+1,KV3)</f>
        <v>0</v>
      </c>
      <c r="KW4" s="5">
        <v>0</v>
      </c>
      <c r="KX4" s="47">
        <v>1</v>
      </c>
      <c r="KY4" s="25">
        <f t="shared" ref="KY4:KY17" si="101">IF(KW4,baseBetterNumbers(KX4*$CY4),IF(KV4,KY3,0))</f>
        <v>0</v>
      </c>
      <c r="KZ4" s="25">
        <f>IF(KW4,KY4+KZ3,KZ3)</f>
        <v>0</v>
      </c>
      <c r="LA4" s="47">
        <v>1</v>
      </c>
      <c r="LB4" s="25">
        <f t="shared" ref="LB4:LB17" si="102">IF(KW4,baseBetterNumbers(LA4*$DB4),IF(KV4,LB3,0))</f>
        <v>0</v>
      </c>
      <c r="LC4" s="47">
        <v>1.5</v>
      </c>
      <c r="LD4" s="25">
        <f t="shared" ref="LD4:LD17" si="103">IF(KW4,baseBetterNumbers(LC4*$DD4),IF(KV4,LD3,0))</f>
        <v>0</v>
      </c>
      <c r="LE4" s="2">
        <v>1.5</v>
      </c>
      <c r="LF4" s="25">
        <f>IF(KW4,baseBetterNumbers(LE4*$DG4),IF(KV4,LF3,0))</f>
        <v>0</v>
      </c>
      <c r="LG4" s="33" t="str">
        <f t="shared" ref="LG4:LG17" si="104">secToTime(LI4)</f>
        <v>0h 0m</v>
      </c>
      <c r="LH4" s="46">
        <v>1</v>
      </c>
      <c r="LI4" s="25">
        <f t="shared" ref="LI4:LI17" si="105">IF(KW4,baseBetterNumbers(LH4*$DK4),IF(KV4,LI3,0))</f>
        <v>0</v>
      </c>
      <c r="LJ4" s="7"/>
      <c r="LK4" s="8">
        <f>IF(LL4,LK3+1,LK3)</f>
        <v>0</v>
      </c>
      <c r="LL4" s="5">
        <v>0</v>
      </c>
      <c r="LM4" s="47">
        <v>1</v>
      </c>
      <c r="LN4" s="25">
        <f t="shared" ref="LN4:LN17" si="106">IF(LL4,baseBetterNumbers(LM4*$CY4),IF(LK4,LN3,0))</f>
        <v>0</v>
      </c>
      <c r="LO4" s="25">
        <f>IF(LL4,LN4+LO3,LO3)</f>
        <v>0</v>
      </c>
      <c r="LP4" s="47">
        <v>1</v>
      </c>
      <c r="LQ4" s="25">
        <f t="shared" ref="LQ4:LQ17" si="107">IF(LL4,baseBetterNumbers(LP4*$DB4),IF(LK4,LQ3,0))</f>
        <v>0</v>
      </c>
      <c r="LR4" s="47">
        <v>1.5</v>
      </c>
      <c r="LS4" s="25">
        <f t="shared" ref="LS4:LS17" si="108">IF(LL4,baseBetterNumbers(LR4*$DD4),IF(LK4,LS3,0))</f>
        <v>0</v>
      </c>
      <c r="LT4" s="2">
        <v>1.5</v>
      </c>
      <c r="LU4" s="25">
        <f>IF(LL4,baseBetterNumbers(LT4*$DG4),IF(LK4,LU3,0))</f>
        <v>0</v>
      </c>
      <c r="LV4" s="33" t="str">
        <f t="shared" ref="LV4:LV17" si="109">secToTime(LX4)</f>
        <v>0h 0m</v>
      </c>
      <c r="LW4" s="46">
        <v>1</v>
      </c>
      <c r="LX4" s="25">
        <f t="shared" ref="LX4:LX17" si="110">IF(LL4,baseBetterNumbers(LW4*$DK4),IF(LK4,LX3,0))</f>
        <v>0</v>
      </c>
      <c r="LY4" s="7"/>
      <c r="LZ4" s="8">
        <f>IF(MA4,LZ3+1,LZ3)</f>
        <v>0</v>
      </c>
      <c r="MA4" s="5">
        <v>0</v>
      </c>
      <c r="MB4" s="47">
        <v>1</v>
      </c>
      <c r="MC4" s="25">
        <f t="shared" ref="MC4:MC17" si="111">IF(MA4,baseBetterNumbers(MB4*$CY4),IF(LZ4,MC3,0))</f>
        <v>0</v>
      </c>
      <c r="MD4" s="25">
        <f>IF(MA4,MC4+MD3,MD3)</f>
        <v>0</v>
      </c>
      <c r="ME4" s="47">
        <v>1</v>
      </c>
      <c r="MF4" s="25">
        <f t="shared" ref="MF4:MF17" si="112">IF(MA4,baseBetterNumbers(ME4*$DB4),IF(LZ4,MF3,0))</f>
        <v>0</v>
      </c>
      <c r="MG4" s="47">
        <v>1.5</v>
      </c>
      <c r="MH4" s="25">
        <f t="shared" ref="MH4:MH17" si="113">IF(MA4,baseBetterNumbers(MG4*$DD4),IF(LZ4,MH3,0))</f>
        <v>0</v>
      </c>
      <c r="MI4" s="2">
        <v>1.5</v>
      </c>
      <c r="MJ4" s="25">
        <f>IF(MA4,baseBetterNumbers(MI4*$DG4),IF(LZ4,MJ3,0))</f>
        <v>0</v>
      </c>
      <c r="MK4" s="33" t="str">
        <f t="shared" ref="MK4:MK17" si="114">secToTime(MM4)</f>
        <v>0h 0m</v>
      </c>
      <c r="ML4" s="46">
        <v>1</v>
      </c>
      <c r="MM4" s="25">
        <f t="shared" ref="MM4:MM17" si="115">IF(MA4,baseBetterNumbers(ML4*$DK4),IF(LZ4,MM3,0))</f>
        <v>0</v>
      </c>
      <c r="MN4" s="7"/>
      <c r="MO4" s="8">
        <f>IF(MP4,MO3+1,MO3)</f>
        <v>0</v>
      </c>
      <c r="MP4" s="5">
        <v>0</v>
      </c>
      <c r="MQ4" s="47">
        <v>1</v>
      </c>
      <c r="MR4" s="25">
        <f t="shared" ref="MR4:MR17" si="116">IF(MP4,baseBetterNumbers(MQ4*$CY4),IF(MO4,MR3,0))</f>
        <v>0</v>
      </c>
      <c r="MS4" s="25">
        <f>IF(MP4,MR4+MS3,MS3)</f>
        <v>0</v>
      </c>
      <c r="MT4" s="47">
        <v>1</v>
      </c>
      <c r="MU4" s="25">
        <f t="shared" ref="MU4:MU17" si="117">IF(MP4,baseBetterNumbers(MT4*$DB4),IF(MO4,MU3,0))</f>
        <v>0</v>
      </c>
      <c r="MV4" s="47">
        <v>1.5</v>
      </c>
      <c r="MW4" s="25">
        <f t="shared" ref="MW4:MW17" si="118">IF(MP4,baseBetterNumbers(MV4*$DD4),IF(MO4,MW3,0))</f>
        <v>0</v>
      </c>
      <c r="MX4" s="2">
        <v>1.5</v>
      </c>
      <c r="MY4" s="25">
        <f>IF(MP4,baseBetterNumbers(MX4*$DG4),IF(MO4,MY3,0))</f>
        <v>0</v>
      </c>
      <c r="MZ4" s="33" t="str">
        <f t="shared" ref="MZ4:MZ17" si="119">secToTime(NB4)</f>
        <v>0h 0m</v>
      </c>
      <c r="NA4" s="46">
        <v>1</v>
      </c>
      <c r="NB4" s="25">
        <f t="shared" ref="NB4:NB17" si="120">IF(MP4,baseBetterNumbers(NA4*$DK4),IF(MO4,NB3,0))</f>
        <v>0</v>
      </c>
      <c r="NC4" s="7"/>
      <c r="ND4" s="8">
        <f>IF(NE4,ND3+1,ND3)</f>
        <v>1</v>
      </c>
      <c r="NE4" s="5">
        <v>1</v>
      </c>
      <c r="NF4" s="47">
        <v>1</v>
      </c>
      <c r="NG4" s="25">
        <f t="shared" ref="NG4:NG17" si="121">IF(NE4,baseBetterNumbers(NF4*$CY4),IF(ND4,NG3,0))</f>
        <v>9</v>
      </c>
      <c r="NH4" s="25">
        <f>IF(NE4,NG4+NH3,NH3)</f>
        <v>9</v>
      </c>
      <c r="NI4" s="47">
        <v>1.5</v>
      </c>
      <c r="NJ4" s="25">
        <f>IF(NE4,baseBetterNumbers(NI4*$DD4),IF(ND4,NJ3,0))</f>
        <v>300</v>
      </c>
      <c r="NK4" s="2">
        <v>1.5</v>
      </c>
      <c r="NL4" s="25">
        <f>IF(NE4,baseBetterNumbers(NK4*$DG4),IF(ND4,NL3,0))</f>
        <v>0</v>
      </c>
      <c r="NM4" s="33" t="str">
        <f t="shared" ref="NM4:NM17" si="122">secToTime(NO4)</f>
        <v>0h 15m</v>
      </c>
      <c r="NN4" s="46">
        <v>1</v>
      </c>
      <c r="NO4" s="25">
        <f>IF(NE4,baseBetterNumbers(NN4*$DK4),IF(ND4,NO3,0))</f>
        <v>900</v>
      </c>
      <c r="NP4" s="47">
        <v>2</v>
      </c>
      <c r="NQ4" s="1">
        <v>40</v>
      </c>
      <c r="NR4" s="1">
        <f t="shared" ref="NR4:NR17" si="123">NQ4*BP4</f>
        <v>40</v>
      </c>
      <c r="NS4" s="1" t="e">
        <f>G4+AJ4*DT4+AL4*EK4+AN4*FE4+AP4*FV4+AR4*GP4+AT4*HG4+AV4*IA4+AX4*IQ4+AZ4*JI4+BD4*KM4+BF4*LB4+BH4*LQ4+BJ4*MF4+BL4*MU4+BR4*OA4+BT4*OP4+BV4*#REF!+BX4*#REF!+BZ4*PU4+#REF!*#REF!+#REF!*#REF!</f>
        <v>#REF!</v>
      </c>
      <c r="NU4" s="8">
        <f>IF(NV4,NU3+1,NU3)</f>
        <v>0</v>
      </c>
      <c r="NV4" s="5">
        <v>0</v>
      </c>
      <c r="NW4" s="47">
        <v>1</v>
      </c>
      <c r="NX4" s="25">
        <f t="shared" ref="NX4:NX17" si="124">IF(NV4,baseBetterNumbers(NW4*$CY4),IF(NU4,NX3,0))</f>
        <v>0</v>
      </c>
      <c r="NY4" s="25">
        <f>IF(NV4,NX4+NY3,NY3)</f>
        <v>0</v>
      </c>
      <c r="NZ4" s="47">
        <v>1</v>
      </c>
      <c r="OA4" s="25">
        <f t="shared" ref="OA4:OA17" si="125">IF(NV4,baseBetterNumbers(NZ4*$DB4),IF(NU4,OA3,0))</f>
        <v>0</v>
      </c>
      <c r="OB4" s="47">
        <v>2.5</v>
      </c>
      <c r="OC4" s="25">
        <f t="shared" ref="OC4:OC17" si="126">IF(NV4,baseBetterNumbers(OB4*$DD4),IF(NU4,OC3,0))</f>
        <v>0</v>
      </c>
      <c r="OD4" s="2">
        <v>1.5</v>
      </c>
      <c r="OE4" s="25">
        <f>IF(NV4,baseBetterNumbers(OD4*$DG4),IF(NU4,OE3,0))</f>
        <v>0</v>
      </c>
      <c r="OF4" s="33" t="str">
        <f t="shared" ref="OF4:OF17" si="127">secToTime(OH4)</f>
        <v>0h 0m</v>
      </c>
      <c r="OG4" s="46">
        <v>1</v>
      </c>
      <c r="OH4" s="25">
        <f t="shared" ref="OH4:OH17" si="128">IF(NV4,baseBetterNumbers(OG4*$DK4),IF(NU4,OH3,0))</f>
        <v>0</v>
      </c>
      <c r="OI4" s="7"/>
      <c r="OJ4" s="8">
        <f>IF(OK4,OJ3+1,OJ3)</f>
        <v>0</v>
      </c>
      <c r="OK4" s="5">
        <v>0</v>
      </c>
      <c r="OL4" s="47">
        <v>1</v>
      </c>
      <c r="OM4" s="25">
        <f t="shared" ref="OM4:OM17" si="129">IF(OK4,baseBetterNumbers(OL4*$CY4),IF(OJ4,OM3,0))</f>
        <v>0</v>
      </c>
      <c r="ON4" s="25">
        <f>IF(OK4,OM4+ON3,ON3)</f>
        <v>0</v>
      </c>
      <c r="OO4" s="47">
        <v>1</v>
      </c>
      <c r="OP4" s="25">
        <f t="shared" ref="OP4:OP17" si="130">IF(OK4,baseBetterNumbers(OO4*$DB4),IF(OJ4,OP3,0))</f>
        <v>0</v>
      </c>
      <c r="OQ4" s="47">
        <v>2.5</v>
      </c>
      <c r="OR4" s="25">
        <f t="shared" ref="OR4:OR17" si="131">IF(OK4,baseBetterNumbers(OQ4*$DD4),IF(OJ4,OR3,0))</f>
        <v>0</v>
      </c>
      <c r="OS4" s="2">
        <v>1.5</v>
      </c>
      <c r="OT4" s="25">
        <f>IF(OK4,baseBetterNumbers(OS4*$DG4),IF(OJ4,OT3,0))</f>
        <v>0</v>
      </c>
      <c r="OU4" s="33" t="str">
        <f t="shared" ref="OU4:OU17" si="132">secToTime(OW4)</f>
        <v>0h 0m</v>
      </c>
      <c r="OV4" s="46">
        <v>1</v>
      </c>
      <c r="OW4" s="25">
        <f t="shared" ref="OW4:OW17" si="133">IF(OK4,baseBetterNumbers(OV4*$DK4),IF(OJ4,OW3,0))</f>
        <v>0</v>
      </c>
      <c r="OX4" s="82"/>
      <c r="OY4" s="82"/>
      <c r="OZ4" s="78"/>
      <c r="PA4" s="25"/>
      <c r="PB4" s="47"/>
      <c r="PC4" s="25"/>
      <c r="PD4" s="82"/>
      <c r="PE4" s="82"/>
      <c r="PF4" s="25"/>
      <c r="PG4" s="25"/>
      <c r="PH4" s="25"/>
      <c r="PI4" s="47"/>
      <c r="PJ4" s="25"/>
      <c r="PK4" s="82"/>
      <c r="PL4" s="82"/>
      <c r="PM4" s="82"/>
      <c r="PN4" s="25"/>
      <c r="PO4" s="5">
        <v>0</v>
      </c>
      <c r="PP4" s="5">
        <v>0</v>
      </c>
      <c r="PQ4" s="5"/>
      <c r="PR4" s="25">
        <v>0</v>
      </c>
      <c r="PS4" s="25">
        <f>IF(PP4,PR4+PS3,PS3)</f>
        <v>0</v>
      </c>
      <c r="PT4" s="25"/>
      <c r="PU4" s="3">
        <v>0</v>
      </c>
      <c r="PV4" s="3"/>
      <c r="PW4" s="1">
        <v>0</v>
      </c>
      <c r="PX4" s="20"/>
      <c r="PY4" s="1">
        <v>0</v>
      </c>
      <c r="PZ4" s="33" t="str">
        <f>secToTime(QB4)</f>
        <v>0h 0m</v>
      </c>
      <c r="QA4" s="33"/>
      <c r="QB4" s="7">
        <f>cioUpTime(Conf!E$57,A4,PW4)</f>
        <v>0</v>
      </c>
    </row>
    <row r="5" spans="1:444">
      <c r="A5" s="23">
        <f t="shared" ref="A5:A17" si="134">IF(B5,A4+1,A4)</f>
        <v>3</v>
      </c>
      <c r="B5" s="8">
        <v>1</v>
      </c>
      <c r="C5" s="47">
        <v>0</v>
      </c>
      <c r="D5" s="25">
        <f>IF(B5,baseBetterNumbers(C5*$CY5),IF(A5-1,D4,0))</f>
        <v>0</v>
      </c>
      <c r="E5" s="25">
        <f t="shared" ref="E5:E17" si="135">IF(B5,D5+E4,E4)</f>
        <v>0</v>
      </c>
      <c r="F5" s="47">
        <v>1</v>
      </c>
      <c r="G5" s="25">
        <f>IF(B5,baseBetterNumbers(F5*$DB5),IF(A5-1,G4,0))</f>
        <v>6</v>
      </c>
      <c r="H5" s="47">
        <v>4</v>
      </c>
      <c r="I5" s="25">
        <f>IF(B5,baseBetterNumbers(H5*$DD5),IF(A5-1,I4,0))</f>
        <v>1600</v>
      </c>
      <c r="J5" s="2">
        <v>3</v>
      </c>
      <c r="K5" s="25">
        <f>IF(B5,baseBetterNumbers(J5*$DG5),IF(A5-1,K4,0))</f>
        <v>0</v>
      </c>
      <c r="L5" s="33" t="str">
        <f t="shared" si="11"/>
        <v>0h 30m</v>
      </c>
      <c r="M5" s="46">
        <v>1</v>
      </c>
      <c r="N5" s="25">
        <f>IF(B5,baseBetterNumbers(M5*$DK5),IF(A5-1,N4,0))</f>
        <v>1800</v>
      </c>
      <c r="O5" s="7">
        <f t="shared" ref="O5:O17" si="136">O4</f>
        <v>0.8</v>
      </c>
      <c r="P5" s="3">
        <f>baseBetterNumbers(O5*EC5)</f>
        <v>3840</v>
      </c>
      <c r="Q5" s="3">
        <f>baseBetterNumbers(O5*FN5)</f>
        <v>3840</v>
      </c>
      <c r="R5" s="3">
        <f>baseBetterNumbers(O5*GY5)</f>
        <v>0</v>
      </c>
      <c r="S5" s="3">
        <v>40</v>
      </c>
      <c r="T5" s="38">
        <v>2E-3</v>
      </c>
      <c r="U5" s="38">
        <v>1.4999999999999999E-4</v>
      </c>
      <c r="V5" s="38">
        <v>1.4999999999999999E-4</v>
      </c>
      <c r="W5" s="38">
        <v>1.4999999999999999E-4</v>
      </c>
      <c r="X5" s="3">
        <v>1</v>
      </c>
      <c r="Y5" s="3"/>
      <c r="Z5" s="3"/>
      <c r="AA5" s="3"/>
      <c r="AB5" s="3"/>
      <c r="AC5" s="3"/>
      <c r="AD5" s="3" t="e">
        <f>-AC5+E5+AJ5*DR5+AL5*EI5+AN5*FC5+AP5*FT5+AR5*GN5+AT5*HE5+AV5*HY5+AX5*IO5+AZ5*JG5+BD5*KK5+BF5*KZ5+BH5*LO5+BJ5*MD5+BL5*MS5+BP5*NH5+BR5*NY5+BT5*ON5+BV5*#REF!+BX5*#REF!+BZ5*PS5+#REF!*#REF!+#REF!*#REF!</f>
        <v>#REF!</v>
      </c>
      <c r="AE5" s="3" t="e">
        <f t="shared" ref="AE5:AE17" si="137">AD5-AD4</f>
        <v>#REF!</v>
      </c>
      <c r="AF5" s="3"/>
      <c r="AG5" s="3" t="e">
        <f>SUM(AI3:AI5)</f>
        <v>#REF!</v>
      </c>
      <c r="AH5" s="3">
        <f t="shared" si="12"/>
        <v>2</v>
      </c>
      <c r="AI5" s="3" t="e">
        <f>AK5+AM5+AO5+AQ5+AS5+AU5+AW5+AY5+BA5+BE5+BG5+BI5+BK5+BM5+BO5+BQ5+BS5+BU5+BW5+BY5+CA5+#REF!+#REF!</f>
        <v>#REF!</v>
      </c>
      <c r="AJ5" s="3">
        <f>SUM(AK3:AK5)</f>
        <v>1</v>
      </c>
      <c r="AK5" s="3"/>
      <c r="AL5" s="3">
        <f>SUM(AM3:AM5)</f>
        <v>2</v>
      </c>
      <c r="AM5" s="3">
        <v>1</v>
      </c>
      <c r="AN5" s="3">
        <f>SUM(AO3:AO5)</f>
        <v>1</v>
      </c>
      <c r="AO5" s="3"/>
      <c r="AP5" s="3">
        <f>SUM(AQ3:AQ5)</f>
        <v>2</v>
      </c>
      <c r="AQ5" s="3"/>
      <c r="AR5" s="3">
        <f>SUM(AS3:AS5)</f>
        <v>0</v>
      </c>
      <c r="AS5" s="3"/>
      <c r="AT5" s="3">
        <f>SUM(AU3:AU5)</f>
        <v>0</v>
      </c>
      <c r="AU5" s="3"/>
      <c r="AV5" s="3">
        <f>SUM(AW3:AW5)</f>
        <v>2</v>
      </c>
      <c r="AW5" s="3">
        <v>1</v>
      </c>
      <c r="AX5" s="3">
        <f>SUM(AY3:AY5)</f>
        <v>0</v>
      </c>
      <c r="AY5" s="3"/>
      <c r="AZ5" s="3">
        <f>SUM(BA3:BA5)</f>
        <v>0</v>
      </c>
      <c r="BA5" s="3"/>
      <c r="BB5" s="3">
        <f>SUM(BC3:BC5)</f>
        <v>4</v>
      </c>
      <c r="BC5" s="3">
        <v>2</v>
      </c>
      <c r="BD5" s="3">
        <f>SUM(BE3:BE5)</f>
        <v>2</v>
      </c>
      <c r="BE5" s="3"/>
      <c r="BF5" s="3">
        <f>SUM(BG3:BG5)</f>
        <v>0</v>
      </c>
      <c r="BG5" s="3"/>
      <c r="BH5" s="3">
        <f>SUM(BI3:BI5)</f>
        <v>0</v>
      </c>
      <c r="BI5" s="3"/>
      <c r="BJ5" s="3">
        <f>SUM(BK3:BK5)</f>
        <v>0</v>
      </c>
      <c r="BK5" s="3"/>
      <c r="BL5" s="3">
        <f>SUM(BM3:BM5)</f>
        <v>1</v>
      </c>
      <c r="BM5" s="3">
        <v>1</v>
      </c>
      <c r="BN5" s="3">
        <f>SUM(BO3:BO5)</f>
        <v>1</v>
      </c>
      <c r="BO5" s="3">
        <v>1</v>
      </c>
      <c r="BP5" s="3">
        <f>SUM(BQ3:BQ5)</f>
        <v>1</v>
      </c>
      <c r="BQ5" s="3"/>
      <c r="BR5" s="3">
        <f>SUM(BS3:BS5)</f>
        <v>0</v>
      </c>
      <c r="BS5" s="3"/>
      <c r="BT5" s="3">
        <f>SUM(BU3:BU5)</f>
        <v>0</v>
      </c>
      <c r="BU5" s="3"/>
      <c r="BV5" s="3">
        <f>SUM(BW3:BW5)</f>
        <v>0</v>
      </c>
      <c r="BW5" s="3"/>
      <c r="BX5" s="3">
        <f>SUM(BY3:BY5)</f>
        <v>0</v>
      </c>
      <c r="BY5" s="3"/>
      <c r="BZ5" s="3">
        <f>SUM(CA3:CA5)</f>
        <v>0</v>
      </c>
      <c r="CA5" s="3"/>
      <c r="CC5" s="1">
        <f t="shared" si="0"/>
        <v>800</v>
      </c>
      <c r="CD5" s="1">
        <f t="shared" si="1"/>
        <v>8640</v>
      </c>
      <c r="CE5" s="1">
        <f t="shared" si="2"/>
        <v>3200</v>
      </c>
      <c r="CF5" s="12">
        <f t="shared" si="3"/>
        <v>4</v>
      </c>
      <c r="CG5" s="12">
        <f t="shared" si="13"/>
        <v>2.7</v>
      </c>
      <c r="CI5" s="1">
        <f t="shared" si="4"/>
        <v>800</v>
      </c>
      <c r="CJ5" s="1">
        <f t="shared" si="5"/>
        <v>8640</v>
      </c>
      <c r="CK5" s="1">
        <f t="shared" si="6"/>
        <v>3200</v>
      </c>
      <c r="CL5" s="12">
        <f t="shared" si="14"/>
        <v>4</v>
      </c>
      <c r="CM5" s="12">
        <f t="shared" si="15"/>
        <v>2.7</v>
      </c>
      <c r="CO5" s="1">
        <f t="shared" si="7"/>
        <v>0</v>
      </c>
      <c r="CP5" s="1">
        <f t="shared" si="8"/>
        <v>0</v>
      </c>
      <c r="CQ5" s="1">
        <f t="shared" si="9"/>
        <v>0</v>
      </c>
      <c r="CR5" s="12">
        <f t="shared" si="16"/>
        <v>0</v>
      </c>
      <c r="CS5" s="12">
        <f t="shared" si="17"/>
        <v>0</v>
      </c>
      <c r="CV5" s="8">
        <f t="shared" si="18"/>
        <v>3</v>
      </c>
      <c r="CW5" s="8">
        <v>1</v>
      </c>
      <c r="CX5" s="45">
        <f t="shared" ref="CX5:CX7" si="138">CX4</f>
        <v>1</v>
      </c>
      <c r="CY5" s="25">
        <f t="shared" si="10"/>
        <v>18</v>
      </c>
      <c r="CZ5" s="25">
        <f t="shared" si="19"/>
        <v>29</v>
      </c>
      <c r="DA5" s="47">
        <f>DA4</f>
        <v>1.5</v>
      </c>
      <c r="DB5" s="3">
        <f t="shared" si="20"/>
        <v>6</v>
      </c>
      <c r="DC5" s="3">
        <f>DC4</f>
        <v>2</v>
      </c>
      <c r="DD5" s="3">
        <f t="shared" si="21"/>
        <v>400</v>
      </c>
      <c r="DE5" s="20">
        <f t="shared" si="22"/>
        <v>4.6296296296296294E-2</v>
      </c>
      <c r="DF5" s="2"/>
      <c r="DG5" s="3">
        <f>IF(CW5,cioCFTiPrice(DG4,CV5),DG4)</f>
        <v>0</v>
      </c>
      <c r="DH5" s="20">
        <v>0</v>
      </c>
      <c r="DI5" s="33" t="str">
        <f t="shared" si="23"/>
        <v>0h 30m</v>
      </c>
      <c r="DJ5" s="46">
        <v>2</v>
      </c>
      <c r="DK5" s="28">
        <f t="shared" si="24"/>
        <v>1800</v>
      </c>
      <c r="DN5" s="8">
        <f t="shared" ref="DN5:DN17" si="139">IF(DO5,DN4+1,DN4)</f>
        <v>3</v>
      </c>
      <c r="DO5" s="8">
        <v>1</v>
      </c>
      <c r="DP5" s="47">
        <v>1</v>
      </c>
      <c r="DQ5" s="25">
        <f t="shared" si="25"/>
        <v>18</v>
      </c>
      <c r="DR5" s="25">
        <f t="shared" ref="DR5:DR17" si="140">IF(DO5,DQ5+DR4,DR4)</f>
        <v>29</v>
      </c>
      <c r="DS5" s="47">
        <v>1</v>
      </c>
      <c r="DT5" s="25">
        <f t="shared" si="26"/>
        <v>6</v>
      </c>
      <c r="DU5" s="47">
        <v>1</v>
      </c>
      <c r="DV5" s="25">
        <f t="shared" si="27"/>
        <v>400</v>
      </c>
      <c r="DW5" s="2">
        <v>1</v>
      </c>
      <c r="DX5" s="25">
        <f t="shared" si="28"/>
        <v>0</v>
      </c>
      <c r="DY5" s="33" t="str">
        <f t="shared" si="29"/>
        <v>0h 30m</v>
      </c>
      <c r="DZ5" s="46">
        <v>1</v>
      </c>
      <c r="EA5" s="25">
        <f t="shared" si="30"/>
        <v>1800</v>
      </c>
      <c r="EB5" s="45">
        <v>3</v>
      </c>
      <c r="EC5" s="1">
        <f t="shared" si="31"/>
        <v>4800</v>
      </c>
      <c r="ED5" s="3"/>
      <c r="EE5" s="8">
        <f t="shared" ref="EE5:EE17" si="141">IF(EF5,EE4+1,EE4)</f>
        <v>3</v>
      </c>
      <c r="EF5" s="8">
        <v>1</v>
      </c>
      <c r="EG5" s="47">
        <v>1</v>
      </c>
      <c r="EH5" s="25">
        <f t="shared" si="32"/>
        <v>18</v>
      </c>
      <c r="EI5" s="25">
        <f t="shared" ref="EI5:EI17" si="142">IF(EF5,EH5+EI4,EI4)</f>
        <v>29</v>
      </c>
      <c r="EJ5" s="47">
        <v>1</v>
      </c>
      <c r="EK5" s="25">
        <f t="shared" si="33"/>
        <v>6</v>
      </c>
      <c r="EL5" s="47">
        <v>0.5</v>
      </c>
      <c r="EM5" s="25">
        <f t="shared" si="34"/>
        <v>200</v>
      </c>
      <c r="EN5" s="2">
        <v>1</v>
      </c>
      <c r="EO5" s="25">
        <f t="shared" si="35"/>
        <v>0</v>
      </c>
      <c r="EP5" s="33" t="str">
        <f t="shared" si="36"/>
        <v>0h 30m</v>
      </c>
      <c r="EQ5" s="46">
        <v>1</v>
      </c>
      <c r="ER5" s="25">
        <f t="shared" si="37"/>
        <v>1800</v>
      </c>
      <c r="ES5" s="45">
        <f>ES4</f>
        <v>2</v>
      </c>
      <c r="ET5" s="3">
        <f t="shared" si="38"/>
        <v>400</v>
      </c>
      <c r="EU5" s="7">
        <f>EU4</f>
        <v>2</v>
      </c>
      <c r="EV5" s="3">
        <f t="shared" si="39"/>
        <v>1600</v>
      </c>
      <c r="EW5" s="6" t="str">
        <f t="shared" si="40"/>
        <v>4h 0m</v>
      </c>
      <c r="EY5" s="8">
        <f t="shared" ref="EY5:EY17" si="143">IF(EZ5,EY4+1,EY4)</f>
        <v>3</v>
      </c>
      <c r="EZ5" s="8">
        <v>1</v>
      </c>
      <c r="FA5" s="47">
        <v>1</v>
      </c>
      <c r="FB5" s="25">
        <f t="shared" si="41"/>
        <v>18</v>
      </c>
      <c r="FC5" s="25">
        <f t="shared" ref="FC5:FC17" si="144">IF(EZ5,FB5+FC4,FC4)</f>
        <v>29</v>
      </c>
      <c r="FD5" s="47">
        <v>1</v>
      </c>
      <c r="FE5" s="25">
        <f t="shared" si="42"/>
        <v>6</v>
      </c>
      <c r="FF5" s="47">
        <v>1</v>
      </c>
      <c r="FG5" s="25">
        <f t="shared" si="43"/>
        <v>400</v>
      </c>
      <c r="FH5" s="2">
        <v>1</v>
      </c>
      <c r="FI5" s="25">
        <f t="shared" si="44"/>
        <v>0</v>
      </c>
      <c r="FJ5" s="33" t="str">
        <f t="shared" si="45"/>
        <v>0h 30m</v>
      </c>
      <c r="FK5" s="46">
        <v>1</v>
      </c>
      <c r="FL5" s="25">
        <f t="shared" si="46"/>
        <v>1800</v>
      </c>
      <c r="FM5" s="45">
        <v>3</v>
      </c>
      <c r="FN5" s="1">
        <f t="shared" si="47"/>
        <v>4800</v>
      </c>
      <c r="FO5" s="3"/>
      <c r="FP5" s="8">
        <f t="shared" ref="FP5:FP17" si="145">IF(FQ5,FP4+1,FP4)</f>
        <v>3</v>
      </c>
      <c r="FQ5" s="8">
        <v>1</v>
      </c>
      <c r="FR5" s="47">
        <v>1</v>
      </c>
      <c r="FS5" s="25">
        <f t="shared" si="48"/>
        <v>18</v>
      </c>
      <c r="FT5" s="25">
        <f t="shared" ref="FT5:FT17" si="146">IF(FQ5,FS5+FT4,FT4)</f>
        <v>29</v>
      </c>
      <c r="FU5" s="47">
        <v>1</v>
      </c>
      <c r="FV5" s="25">
        <f t="shared" si="49"/>
        <v>6</v>
      </c>
      <c r="FW5" s="47">
        <v>0.5</v>
      </c>
      <c r="FX5" s="25">
        <f t="shared" si="50"/>
        <v>200</v>
      </c>
      <c r="FY5" s="2">
        <v>1</v>
      </c>
      <c r="FZ5" s="25">
        <f t="shared" si="51"/>
        <v>0</v>
      </c>
      <c r="GA5" s="33" t="str">
        <f t="shared" si="52"/>
        <v>0h 30m</v>
      </c>
      <c r="GB5" s="46">
        <v>1</v>
      </c>
      <c r="GC5" s="25">
        <f t="shared" si="53"/>
        <v>1800</v>
      </c>
      <c r="GD5" s="45">
        <f>GD4</f>
        <v>2</v>
      </c>
      <c r="GE5" s="3">
        <f t="shared" si="54"/>
        <v>400</v>
      </c>
      <c r="GF5" s="7">
        <f>GF4</f>
        <v>2</v>
      </c>
      <c r="GG5" s="3">
        <f t="shared" si="55"/>
        <v>1600</v>
      </c>
      <c r="GH5" s="6" t="str">
        <f t="shared" si="56"/>
        <v>4h 0m</v>
      </c>
      <c r="GJ5" s="8">
        <f t="shared" ref="GJ5:GJ17" si="147">IF(GK5,GJ4+1,GJ4)</f>
        <v>0</v>
      </c>
      <c r="GK5" s="8">
        <v>0</v>
      </c>
      <c r="GL5" s="47">
        <v>1</v>
      </c>
      <c r="GM5" s="25">
        <f t="shared" si="57"/>
        <v>0</v>
      </c>
      <c r="GN5" s="25">
        <f t="shared" ref="GN5:GN17" si="148">IF(GK5,GM5+GN4,GN4)</f>
        <v>0</v>
      </c>
      <c r="GO5" s="47">
        <v>1</v>
      </c>
      <c r="GP5" s="25">
        <f t="shared" si="58"/>
        <v>0</v>
      </c>
      <c r="GQ5" s="47">
        <v>1</v>
      </c>
      <c r="GR5" s="25">
        <f t="shared" si="59"/>
        <v>0</v>
      </c>
      <c r="GS5" s="2">
        <v>1</v>
      </c>
      <c r="GT5" s="25">
        <f t="shared" si="60"/>
        <v>0</v>
      </c>
      <c r="GU5" s="33" t="str">
        <f t="shared" si="61"/>
        <v>0h 0m</v>
      </c>
      <c r="GV5" s="46">
        <v>1</v>
      </c>
      <c r="GW5" s="25">
        <f t="shared" si="62"/>
        <v>0</v>
      </c>
      <c r="GX5" s="45">
        <v>3</v>
      </c>
      <c r="GY5" s="1">
        <f t="shared" si="63"/>
        <v>0</v>
      </c>
      <c r="GZ5" s="3"/>
      <c r="HA5" s="8">
        <f t="shared" ref="HA5:HA17" si="149">IF(HB5,HA4+1,HA4)</f>
        <v>0</v>
      </c>
      <c r="HB5" s="5">
        <v>0</v>
      </c>
      <c r="HC5" s="47">
        <v>1</v>
      </c>
      <c r="HD5" s="25">
        <f t="shared" si="64"/>
        <v>0</v>
      </c>
      <c r="HE5" s="25">
        <f t="shared" ref="HE5:HE17" si="150">IF(HB5,HD5+HE4,HE4)</f>
        <v>0</v>
      </c>
      <c r="HF5" s="47">
        <v>1</v>
      </c>
      <c r="HG5" s="25">
        <f t="shared" si="65"/>
        <v>0</v>
      </c>
      <c r="HH5" s="47">
        <v>0.5</v>
      </c>
      <c r="HI5" s="25">
        <f t="shared" si="66"/>
        <v>0</v>
      </c>
      <c r="HJ5" s="2">
        <v>1</v>
      </c>
      <c r="HK5" s="25">
        <f t="shared" si="67"/>
        <v>0</v>
      </c>
      <c r="HL5" s="33" t="str">
        <f t="shared" si="68"/>
        <v>0h 0m</v>
      </c>
      <c r="HM5" s="46">
        <v>1</v>
      </c>
      <c r="HN5" s="25">
        <f t="shared" si="69"/>
        <v>0</v>
      </c>
      <c r="HO5" s="42">
        <v>0</v>
      </c>
      <c r="HP5" s="3">
        <f>IF(HB5,baseBetterNumbers(HP4*HO5),HP4)</f>
        <v>0</v>
      </c>
      <c r="HQ5" s="7">
        <f>HQ4</f>
        <v>2</v>
      </c>
      <c r="HR5" s="3">
        <f>IF(HB5,baseBetterNumbers(HR4*HQ5),HR4)</f>
        <v>0</v>
      </c>
      <c r="HS5" s="6" t="e">
        <f t="shared" si="70"/>
        <v>#VALUE!</v>
      </c>
      <c r="HU5" s="8">
        <f t="shared" ref="HU5:HU17" si="151">IF(HV5,HU4+1,HU4)</f>
        <v>3</v>
      </c>
      <c r="HV5" s="8">
        <v>1</v>
      </c>
      <c r="HW5" s="47">
        <v>1</v>
      </c>
      <c r="HX5" s="25">
        <f t="shared" si="71"/>
        <v>18</v>
      </c>
      <c r="HY5" s="25">
        <f t="shared" ref="HY5:HY17" si="152">IF(HV5,HX5+HY4,HY4)</f>
        <v>29</v>
      </c>
      <c r="HZ5" s="47">
        <v>2</v>
      </c>
      <c r="IA5" s="25">
        <f t="shared" si="72"/>
        <v>12</v>
      </c>
      <c r="IB5" s="47">
        <v>2.5</v>
      </c>
      <c r="IC5" s="25">
        <f t="shared" si="73"/>
        <v>1000</v>
      </c>
      <c r="ID5" s="2">
        <v>2.5</v>
      </c>
      <c r="IE5" s="25">
        <f t="shared" si="74"/>
        <v>0</v>
      </c>
      <c r="IF5" s="33" t="str">
        <f t="shared" si="75"/>
        <v>1h 45m</v>
      </c>
      <c r="IG5" s="46">
        <v>3.5</v>
      </c>
      <c r="IH5" s="25">
        <f t="shared" si="76"/>
        <v>6300</v>
      </c>
      <c r="II5" s="3"/>
      <c r="IJ5" s="3"/>
      <c r="IK5" s="8">
        <f t="shared" ref="IK5:IK17" si="153">IF(IL5,IK4+1,IK4)</f>
        <v>0</v>
      </c>
      <c r="IL5" s="8">
        <v>0</v>
      </c>
      <c r="IM5" s="47">
        <v>1</v>
      </c>
      <c r="IN5" s="25">
        <f t="shared" si="77"/>
        <v>0</v>
      </c>
      <c r="IO5" s="25">
        <f t="shared" ref="IO5:IO17" si="154">IF(IL5,IN5+IO4,IO4)</f>
        <v>0</v>
      </c>
      <c r="IP5" s="47">
        <v>2</v>
      </c>
      <c r="IQ5" s="25">
        <f t="shared" si="78"/>
        <v>0</v>
      </c>
      <c r="IR5" s="47">
        <v>2.5</v>
      </c>
      <c r="IS5" s="25">
        <f t="shared" si="79"/>
        <v>0</v>
      </c>
      <c r="IT5" s="2">
        <v>2.5</v>
      </c>
      <c r="IU5" s="25">
        <f t="shared" si="80"/>
        <v>0</v>
      </c>
      <c r="IV5" s="33" t="str">
        <f t="shared" si="81"/>
        <v>0h 0m</v>
      </c>
      <c r="IW5" s="46">
        <v>3.5</v>
      </c>
      <c r="IX5" s="25">
        <f t="shared" si="82"/>
        <v>0</v>
      </c>
      <c r="IY5" s="25">
        <v>0</v>
      </c>
      <c r="IZ5" s="25">
        <v>0</v>
      </c>
      <c r="JA5" s="25">
        <v>0</v>
      </c>
      <c r="JB5" s="7"/>
      <c r="JC5" s="8">
        <f t="shared" ref="JC5:JC17" si="155">IF(JD5,JC4+1,JC4)</f>
        <v>0</v>
      </c>
      <c r="JD5" s="8">
        <v>0</v>
      </c>
      <c r="JE5" s="47">
        <v>1</v>
      </c>
      <c r="JF5" s="25">
        <f t="shared" si="83"/>
        <v>0</v>
      </c>
      <c r="JG5" s="25">
        <f t="shared" ref="JG5:JG17" si="156">IF(JD5,JF5+JG4,JG4)</f>
        <v>0</v>
      </c>
      <c r="JH5" s="47">
        <v>2</v>
      </c>
      <c r="JI5" s="25">
        <f t="shared" si="84"/>
        <v>0</v>
      </c>
      <c r="JJ5" s="47">
        <v>2.5</v>
      </c>
      <c r="JK5" s="25">
        <f t="shared" si="85"/>
        <v>0</v>
      </c>
      <c r="JL5" s="2">
        <v>2.5</v>
      </c>
      <c r="JM5" s="25">
        <f t="shared" si="86"/>
        <v>0</v>
      </c>
      <c r="JN5" s="33" t="str">
        <f t="shared" si="87"/>
        <v>0h 0m</v>
      </c>
      <c r="JO5" s="46">
        <v>3.5</v>
      </c>
      <c r="JP5" s="25">
        <f t="shared" si="88"/>
        <v>0</v>
      </c>
      <c r="JQ5" s="7"/>
      <c r="JR5" s="8">
        <f t="shared" si="89"/>
        <v>1</v>
      </c>
      <c r="JS5" s="5">
        <v>0</v>
      </c>
      <c r="JT5" s="47">
        <v>1</v>
      </c>
      <c r="JU5" s="25">
        <f t="shared" si="90"/>
        <v>0</v>
      </c>
      <c r="JV5" s="25">
        <f t="shared" ref="JV5:JV17" si="157">IF(JS5,JU5+JV4,JV4)</f>
        <v>0</v>
      </c>
      <c r="JW5" s="47">
        <v>1</v>
      </c>
      <c r="JX5" s="25">
        <f t="shared" si="91"/>
        <v>0</v>
      </c>
      <c r="JY5" s="47">
        <v>1.5</v>
      </c>
      <c r="JZ5" s="25">
        <f>IF(JS5,baseBetterNumbers(JY5*$DD5),IF(JR5-1,JZ4,0))</f>
        <v>0</v>
      </c>
      <c r="KA5" s="2">
        <v>1.5</v>
      </c>
      <c r="KB5" s="25">
        <f t="shared" si="92"/>
        <v>0</v>
      </c>
      <c r="KC5" s="33" t="str">
        <f t="shared" si="93"/>
        <v>0h 0m</v>
      </c>
      <c r="KD5" s="46">
        <v>1</v>
      </c>
      <c r="KE5" s="25">
        <f t="shared" si="94"/>
        <v>0</v>
      </c>
      <c r="KF5" s="7"/>
      <c r="KG5" s="8">
        <f t="shared" ref="KG5:KG17" si="158">IF(KH5,KG4+1,KG4)</f>
        <v>3</v>
      </c>
      <c r="KH5" s="8">
        <v>1</v>
      </c>
      <c r="KI5" s="47">
        <v>1</v>
      </c>
      <c r="KJ5" s="25">
        <f t="shared" si="95"/>
        <v>18</v>
      </c>
      <c r="KK5" s="25">
        <f t="shared" ref="KK5:KK17" si="159">IF(KH5,KJ5+KK4,KK4)</f>
        <v>29</v>
      </c>
      <c r="KL5" s="47">
        <v>1</v>
      </c>
      <c r="KM5" s="25">
        <f t="shared" si="96"/>
        <v>6</v>
      </c>
      <c r="KN5" s="47">
        <v>1.5</v>
      </c>
      <c r="KO5" s="25">
        <f t="shared" si="97"/>
        <v>600</v>
      </c>
      <c r="KP5" s="2">
        <v>1.5</v>
      </c>
      <c r="KQ5" s="25">
        <f t="shared" si="98"/>
        <v>0</v>
      </c>
      <c r="KR5" s="33" t="str">
        <f t="shared" si="99"/>
        <v>0h 30m</v>
      </c>
      <c r="KS5" s="46">
        <v>1</v>
      </c>
      <c r="KT5" s="25">
        <f t="shared" si="100"/>
        <v>1800</v>
      </c>
      <c r="KU5" s="7"/>
      <c r="KV5" s="8">
        <f t="shared" ref="KV5:KV17" si="160">IF(KW5,KV4+1,KV4)</f>
        <v>0</v>
      </c>
      <c r="KW5" s="5">
        <v>0</v>
      </c>
      <c r="KX5" s="47">
        <v>1</v>
      </c>
      <c r="KY5" s="25">
        <f t="shared" si="101"/>
        <v>0</v>
      </c>
      <c r="KZ5" s="25">
        <f t="shared" ref="KZ5:KZ17" si="161">IF(KW5,KY5+KZ4,KZ4)</f>
        <v>0</v>
      </c>
      <c r="LA5" s="47">
        <v>1</v>
      </c>
      <c r="LB5" s="25">
        <f t="shared" si="102"/>
        <v>0</v>
      </c>
      <c r="LC5" s="47">
        <v>1.5</v>
      </c>
      <c r="LD5" s="25">
        <f t="shared" si="103"/>
        <v>0</v>
      </c>
      <c r="LE5" s="2">
        <v>1.5</v>
      </c>
      <c r="LF5" s="25">
        <f t="shared" ref="LF5:LF17" si="162">IF(KW5,baseBetterNumbers(LE5*$DG5),IF(KV5-1,LF4,0))</f>
        <v>0</v>
      </c>
      <c r="LG5" s="33" t="str">
        <f t="shared" si="104"/>
        <v>0h 0m</v>
      </c>
      <c r="LH5" s="46">
        <v>1</v>
      </c>
      <c r="LI5" s="25">
        <f t="shared" si="105"/>
        <v>0</v>
      </c>
      <c r="LJ5" s="7"/>
      <c r="LK5" s="8">
        <f t="shared" ref="LK5:LK17" si="163">IF(LL5,LK4+1,LK4)</f>
        <v>0</v>
      </c>
      <c r="LL5" s="5">
        <v>0</v>
      </c>
      <c r="LM5" s="47">
        <v>1</v>
      </c>
      <c r="LN5" s="25">
        <f t="shared" si="106"/>
        <v>0</v>
      </c>
      <c r="LO5" s="25">
        <f t="shared" ref="LO5:LO17" si="164">IF(LL5,LN5+LO4,LO4)</f>
        <v>0</v>
      </c>
      <c r="LP5" s="47">
        <v>1</v>
      </c>
      <c r="LQ5" s="25">
        <f t="shared" si="107"/>
        <v>0</v>
      </c>
      <c r="LR5" s="47">
        <v>1.5</v>
      </c>
      <c r="LS5" s="25">
        <f t="shared" si="108"/>
        <v>0</v>
      </c>
      <c r="LT5" s="2">
        <v>1.5</v>
      </c>
      <c r="LU5" s="25">
        <f t="shared" ref="LU5:LU17" si="165">IF(LL5,baseBetterNumbers(LT5*$DG5),IF(LK5-1,LU4,0))</f>
        <v>0</v>
      </c>
      <c r="LV5" s="33" t="str">
        <f t="shared" si="109"/>
        <v>0h 0m</v>
      </c>
      <c r="LW5" s="46">
        <v>1</v>
      </c>
      <c r="LX5" s="25">
        <f t="shared" si="110"/>
        <v>0</v>
      </c>
      <c r="LY5" s="7"/>
      <c r="LZ5" s="8">
        <f t="shared" ref="LZ5:LZ17" si="166">IF(MA5,LZ4+1,LZ4)</f>
        <v>0</v>
      </c>
      <c r="MA5" s="5">
        <v>0</v>
      </c>
      <c r="MB5" s="47">
        <v>1</v>
      </c>
      <c r="MC5" s="25">
        <f t="shared" si="111"/>
        <v>0</v>
      </c>
      <c r="MD5" s="25">
        <f t="shared" ref="MD5:MD17" si="167">IF(MA5,MC5+MD4,MD4)</f>
        <v>0</v>
      </c>
      <c r="ME5" s="47">
        <v>1</v>
      </c>
      <c r="MF5" s="25">
        <f t="shared" si="112"/>
        <v>0</v>
      </c>
      <c r="MG5" s="47">
        <v>1.5</v>
      </c>
      <c r="MH5" s="25">
        <f t="shared" si="113"/>
        <v>0</v>
      </c>
      <c r="MI5" s="2">
        <v>1.5</v>
      </c>
      <c r="MJ5" s="25">
        <f t="shared" ref="MJ5:MJ17" si="168">IF(MA5,baseBetterNumbers(MI5*$DG5),IF(LZ5-1,MJ4,0))</f>
        <v>0</v>
      </c>
      <c r="MK5" s="33" t="str">
        <f t="shared" si="114"/>
        <v>0h 0m</v>
      </c>
      <c r="ML5" s="46">
        <v>1</v>
      </c>
      <c r="MM5" s="25">
        <f t="shared" si="115"/>
        <v>0</v>
      </c>
      <c r="MN5" s="7"/>
      <c r="MO5" s="8">
        <f t="shared" ref="MO5:MO17" si="169">IF(MP5,MO4+1,MO4)</f>
        <v>1</v>
      </c>
      <c r="MP5" s="5">
        <v>1</v>
      </c>
      <c r="MQ5" s="47">
        <v>1</v>
      </c>
      <c r="MR5" s="25">
        <f t="shared" si="116"/>
        <v>18</v>
      </c>
      <c r="MS5" s="25">
        <f t="shared" ref="MS5:MS17" si="170">IF(MP5,MR5+MS4,MS4)</f>
        <v>18</v>
      </c>
      <c r="MT5" s="47">
        <v>1.5</v>
      </c>
      <c r="MU5" s="25">
        <f t="shared" si="117"/>
        <v>9</v>
      </c>
      <c r="MV5" s="47">
        <v>4</v>
      </c>
      <c r="MW5" s="25">
        <f t="shared" si="118"/>
        <v>1600</v>
      </c>
      <c r="MX5" s="2">
        <v>1.5</v>
      </c>
      <c r="MY5" s="25">
        <f t="shared" ref="MY5:MY17" si="171">IF(MP5,baseBetterNumbers(MX5*$DG5),IF(MO5-1,MY4,0))</f>
        <v>0</v>
      </c>
      <c r="MZ5" s="33" t="str">
        <f t="shared" si="119"/>
        <v>0h 30m</v>
      </c>
      <c r="NA5" s="46">
        <v>1</v>
      </c>
      <c r="NB5" s="25">
        <f t="shared" si="120"/>
        <v>1800</v>
      </c>
      <c r="NC5" s="7"/>
      <c r="ND5" s="8">
        <f t="shared" ref="ND5:ND17" si="172">IF(NE5,ND4+1,ND4)</f>
        <v>2</v>
      </c>
      <c r="NE5" s="5">
        <v>1</v>
      </c>
      <c r="NF5" s="47">
        <v>1</v>
      </c>
      <c r="NG5" s="25">
        <f t="shared" si="121"/>
        <v>18</v>
      </c>
      <c r="NH5" s="25">
        <f t="shared" ref="NH5:NH17" si="173">IF(NE5,NG5+NH4,NH4)</f>
        <v>27</v>
      </c>
      <c r="NI5" s="47">
        <v>4</v>
      </c>
      <c r="NJ5" s="25">
        <f>IF(NE5,baseBetterNumbers(NI5*$DD5),IF(ND5,NJ4,0))</f>
        <v>1600</v>
      </c>
      <c r="NK5" s="2">
        <v>1.5</v>
      </c>
      <c r="NL5" s="25">
        <f>IF(NE5,baseBetterNumbers(NK5*$DG5),IF(ND5-1,NL4,0))</f>
        <v>0</v>
      </c>
      <c r="NM5" s="33" t="str">
        <f t="shared" si="122"/>
        <v>0h 30m</v>
      </c>
      <c r="NN5" s="46">
        <v>1</v>
      </c>
      <c r="NO5" s="25">
        <f>IF(NE5,baseBetterNumbers(NN5*$DK5),IF(ND5,NO4,0))</f>
        <v>1800</v>
      </c>
      <c r="NP5" s="47">
        <v>2</v>
      </c>
      <c r="NQ5" s="25">
        <f>NQ4*NP5</f>
        <v>80</v>
      </c>
      <c r="NR5" s="1">
        <f t="shared" si="123"/>
        <v>80</v>
      </c>
      <c r="NS5" s="1" t="e">
        <f>G5+AJ5*DT5+AL5*EK5+AN5*FE5+AP5*FV5+AR5*GP5+AT5*HG5+AV5*IA5+AX5*IQ5+AZ5*JI5+BD5*KM5+BF5*LB5+BH5*LQ5+BJ5*MF5+BL5*MU5+BR5*OA5+BT5*OP5+BV5*#REF!+BX5*#REF!+BZ5*PU5+#REF!*#REF!+#REF!*#REF!</f>
        <v>#REF!</v>
      </c>
      <c r="NU5" s="8">
        <f t="shared" ref="NU5:NU17" si="174">IF(NV5,NU4+1,NU4)</f>
        <v>0</v>
      </c>
      <c r="NV5" s="5">
        <v>0</v>
      </c>
      <c r="NW5" s="47">
        <v>1</v>
      </c>
      <c r="NX5" s="25">
        <f t="shared" si="124"/>
        <v>0</v>
      </c>
      <c r="NY5" s="25">
        <f t="shared" ref="NY5:NY17" si="175">IF(NV5,NX5+NY4,NY4)</f>
        <v>0</v>
      </c>
      <c r="NZ5" s="47">
        <v>1.5</v>
      </c>
      <c r="OA5" s="25">
        <f t="shared" si="125"/>
        <v>0</v>
      </c>
      <c r="OB5" s="47">
        <v>2.5</v>
      </c>
      <c r="OC5" s="25">
        <f t="shared" si="126"/>
        <v>0</v>
      </c>
      <c r="OD5" s="2">
        <v>1.5</v>
      </c>
      <c r="OE5" s="25">
        <f t="shared" ref="OE5:OE17" si="176">IF(NV5,baseBetterNumbers(OD5*$DG5),IF(NU5-1,OE4,0))</f>
        <v>0</v>
      </c>
      <c r="OF5" s="33" t="str">
        <f t="shared" si="127"/>
        <v>0h 0m</v>
      </c>
      <c r="OG5" s="46">
        <v>1</v>
      </c>
      <c r="OH5" s="25">
        <f t="shared" si="128"/>
        <v>0</v>
      </c>
      <c r="OI5" s="7"/>
      <c r="OJ5" s="8">
        <f t="shared" ref="OJ5:OJ17" si="177">IF(OK5,OJ4+1,OJ4)</f>
        <v>0</v>
      </c>
      <c r="OK5" s="5">
        <v>0</v>
      </c>
      <c r="OL5" s="47">
        <v>1</v>
      </c>
      <c r="OM5" s="25">
        <f t="shared" si="129"/>
        <v>0</v>
      </c>
      <c r="ON5" s="25">
        <f t="shared" ref="ON5:ON17" si="178">IF(OK5,OM5+ON4,ON4)</f>
        <v>0</v>
      </c>
      <c r="OO5" s="47">
        <v>1.5</v>
      </c>
      <c r="OP5" s="25">
        <f t="shared" si="130"/>
        <v>0</v>
      </c>
      <c r="OQ5" s="47">
        <v>2.5</v>
      </c>
      <c r="OR5" s="25">
        <f t="shared" si="131"/>
        <v>0</v>
      </c>
      <c r="OS5" s="2">
        <v>1.5</v>
      </c>
      <c r="OT5" s="25">
        <f t="shared" ref="OT5:OT17" si="179">IF(OK5,baseBetterNumbers(OS5*$DG5),IF(OJ5-1,OT4,0))</f>
        <v>0</v>
      </c>
      <c r="OU5" s="33" t="str">
        <f t="shared" si="132"/>
        <v>0h 0m</v>
      </c>
      <c r="OV5" s="46">
        <v>1</v>
      </c>
      <c r="OW5" s="25">
        <f t="shared" si="133"/>
        <v>0</v>
      </c>
      <c r="OX5" s="82"/>
      <c r="OY5" s="82"/>
      <c r="OZ5" s="78"/>
      <c r="PA5" s="25"/>
      <c r="PB5" s="47"/>
      <c r="PC5" s="25"/>
      <c r="PD5" s="82"/>
      <c r="PE5" s="82"/>
      <c r="PF5" s="25"/>
      <c r="PG5" s="25"/>
      <c r="PH5" s="25"/>
      <c r="PI5" s="47"/>
      <c r="PJ5" s="25"/>
      <c r="PK5" s="82"/>
      <c r="PL5" s="82"/>
      <c r="PM5" s="82"/>
      <c r="PN5" s="25"/>
      <c r="PO5" s="8">
        <v>0</v>
      </c>
      <c r="PP5" s="8">
        <v>0</v>
      </c>
      <c r="PQ5" s="8"/>
      <c r="PR5" s="25">
        <f>IF(PP5,cio2StepsChangesX(PR4,BZ5,Conf!BM$40,Conf!BM$41,Conf!BN$39,Conf!BN$40,Conf!BN$41),PR4)</f>
        <v>0</v>
      </c>
      <c r="PS5" s="25">
        <f t="shared" ref="PS5:PS11" si="180">IF(PP5,PR5+PS4,PS4)</f>
        <v>0</v>
      </c>
      <c r="PT5" s="25"/>
      <c r="PU5" s="3">
        <f>IF(PP5,cio2StepsChangesX(PU4,PO5,Conf!BM$46,Conf!BM$47,Conf!BN$45,Conf!BN$46,Conf!BN$47),PU4)</f>
        <v>0</v>
      </c>
      <c r="PV5" s="3"/>
      <c r="PW5" s="3">
        <v>0</v>
      </c>
      <c r="PX5" s="20"/>
      <c r="PY5" s="3">
        <f>IF(PP5,cioCFTiPrice(PY4,PO5),PY4)</f>
        <v>0</v>
      </c>
      <c r="PZ5" s="33" t="str">
        <f>secToTime(QB5)</f>
        <v>0h 0m</v>
      </c>
      <c r="QA5" s="33"/>
      <c r="QB5" s="7">
        <f>cioUpTime(Conf!E$57,A5,PW5)</f>
        <v>0</v>
      </c>
    </row>
    <row r="6" spans="1:444">
      <c r="A6" s="23">
        <f t="shared" si="134"/>
        <v>4</v>
      </c>
      <c r="B6" s="5">
        <v>1</v>
      </c>
      <c r="C6" s="47">
        <v>0</v>
      </c>
      <c r="D6" s="25">
        <f>IF(B6,baseBetterNumbers(C6*$CY6),IF(A6-1,D5,0))</f>
        <v>0</v>
      </c>
      <c r="E6" s="25">
        <f t="shared" si="135"/>
        <v>0</v>
      </c>
      <c r="F6" s="47">
        <v>1</v>
      </c>
      <c r="G6" s="25">
        <f>IF(B6,baseBetterNumbers(F6*$DB6),IF(A6-1,G5,0))</f>
        <v>9</v>
      </c>
      <c r="H6" s="47">
        <v>4</v>
      </c>
      <c r="I6" s="25">
        <f>IF(B6,baseBetterNumbers(H6*$DD6),IF(A6-1,I5,0))</f>
        <v>3200</v>
      </c>
      <c r="J6" s="2">
        <v>3</v>
      </c>
      <c r="K6" s="25">
        <f>IF(B6,baseBetterNumbers(J6*$DG6),IF(A6-1,K5,0))</f>
        <v>0</v>
      </c>
      <c r="L6" s="33" t="str">
        <f t="shared" si="11"/>
        <v>1h 0m</v>
      </c>
      <c r="M6" s="46">
        <v>1</v>
      </c>
      <c r="N6" s="25">
        <f>IF(B6,baseBetterNumbers(M6*$DK6),IF(A6-1,N5,0))</f>
        <v>3600</v>
      </c>
      <c r="O6" s="7">
        <f t="shared" si="136"/>
        <v>0.8</v>
      </c>
      <c r="P6" s="3">
        <f>baseBetterNumbers(O6*EC6)</f>
        <v>7680</v>
      </c>
      <c r="Q6" s="3">
        <f>baseBetterNumbers(O6*FN6)</f>
        <v>7680</v>
      </c>
      <c r="R6" s="3">
        <f>baseBetterNumbers(O6*GY6)</f>
        <v>0</v>
      </c>
      <c r="S6" s="3">
        <v>40</v>
      </c>
      <c r="T6" s="38">
        <v>2.5000000000000001E-3</v>
      </c>
      <c r="U6" s="38">
        <v>2.0000000000000001E-4</v>
      </c>
      <c r="V6" s="38">
        <v>2.0000000000000001E-4</v>
      </c>
      <c r="W6" s="38">
        <v>2.0000000000000001E-4</v>
      </c>
      <c r="X6" s="3">
        <v>1</v>
      </c>
      <c r="Y6" s="3"/>
      <c r="Z6" s="3"/>
      <c r="AA6" s="3"/>
      <c r="AB6" s="3"/>
      <c r="AC6" s="3"/>
      <c r="AD6" s="3" t="e">
        <f>-AC6+E6+AJ6*DR6+AL6*EI6+AN6*FC6+AP6*FT6+AR6*GN6+AT6*HE6+AV6*HY6+AX6*IO6+AZ6*JG6+BD6*KK6+BF6*KZ6+BH6*LO6+BJ6*MD6+BL6*MS6+BP6*NH6+BR6*NY6+BT6*ON6+BV6*#REF!+BX6*#REF!+BZ6*PS6+#REF!*#REF!+#REF!*#REF!</f>
        <v>#REF!</v>
      </c>
      <c r="AE6" s="3" t="e">
        <f t="shared" si="137"/>
        <v>#REF!</v>
      </c>
      <c r="AF6" s="3"/>
      <c r="AG6" s="3" t="e">
        <f>SUM(AI3:AI6)</f>
        <v>#REF!</v>
      </c>
      <c r="AH6" s="3">
        <f t="shared" si="12"/>
        <v>3</v>
      </c>
      <c r="AI6" s="3" t="e">
        <f>AK6+AM6+AO6+AQ6+AS6+AU6+AW6+AY6+BA6+BE6+BG6+BI6+BK6+BM6+BO6+BQ6+BS6+BU6+BW6+BY6+CA6+#REF!+#REF!</f>
        <v>#REF!</v>
      </c>
      <c r="AJ6" s="3">
        <f>SUM(AK3:AK6)</f>
        <v>1</v>
      </c>
      <c r="AK6" s="3"/>
      <c r="AL6" s="3">
        <f>SUM(AM3:AM6)</f>
        <v>2</v>
      </c>
      <c r="AM6" s="3"/>
      <c r="AN6" s="3">
        <f>SUM(AO3:AO6)</f>
        <v>1</v>
      </c>
      <c r="AO6" s="3"/>
      <c r="AP6" s="3">
        <f>SUM(AQ3:AQ6)</f>
        <v>2</v>
      </c>
      <c r="AQ6" s="3"/>
      <c r="AR6" s="3">
        <f>SUM(AS3:AS6)</f>
        <v>0</v>
      </c>
      <c r="AS6" s="3"/>
      <c r="AT6" s="3">
        <f>SUM(AU3:AU6)</f>
        <v>0</v>
      </c>
      <c r="AU6" s="3"/>
      <c r="AV6" s="3">
        <f>SUM(AW3:AW6)</f>
        <v>2</v>
      </c>
      <c r="AW6" s="3"/>
      <c r="AX6" s="3">
        <f>SUM(AY3:AY6)</f>
        <v>0</v>
      </c>
      <c r="AY6" s="3"/>
      <c r="AZ6" s="3">
        <f>SUM(BA3:BA6)</f>
        <v>0</v>
      </c>
      <c r="BA6" s="3"/>
      <c r="BB6" s="3">
        <f>SUM(BC3:BC6)</f>
        <v>6</v>
      </c>
      <c r="BC6" s="3">
        <v>2</v>
      </c>
      <c r="BD6" s="3">
        <f>SUM(BE3:BE6)</f>
        <v>3</v>
      </c>
      <c r="BE6" s="3">
        <v>1</v>
      </c>
      <c r="BF6" s="3">
        <f>SUM(BG3:BG6)</f>
        <v>0</v>
      </c>
      <c r="BG6" s="3"/>
      <c r="BH6" s="3">
        <f>SUM(BI3:BI6)</f>
        <v>0</v>
      </c>
      <c r="BI6" s="3"/>
      <c r="BJ6" s="3">
        <f>SUM(BK3:BK6)</f>
        <v>0</v>
      </c>
      <c r="BK6" s="3"/>
      <c r="BL6" s="3">
        <f>SUM(BM3:BM6)</f>
        <v>1</v>
      </c>
      <c r="BM6" s="3"/>
      <c r="BN6" s="3">
        <f>SUM(BO3:BO6)</f>
        <v>1</v>
      </c>
      <c r="BO6" s="3"/>
      <c r="BP6" s="3">
        <f>SUM(BQ3:BQ6)</f>
        <v>2</v>
      </c>
      <c r="BQ6" s="3">
        <v>1</v>
      </c>
      <c r="BR6" s="3">
        <f>SUM(BS3:BS6)</f>
        <v>1</v>
      </c>
      <c r="BS6" s="24">
        <v>1</v>
      </c>
      <c r="BT6" s="3">
        <f>SUM(BU3:BU6)</f>
        <v>1</v>
      </c>
      <c r="BU6" s="24">
        <v>1</v>
      </c>
      <c r="BV6" s="3">
        <f>SUM(BW3:BW6)</f>
        <v>0</v>
      </c>
      <c r="BW6" s="3"/>
      <c r="BX6" s="3">
        <f>SUM(BY3:BY6)</f>
        <v>0</v>
      </c>
      <c r="BY6" s="3"/>
      <c r="BZ6" s="3">
        <f>SUM(CA3:CA6)</f>
        <v>0</v>
      </c>
      <c r="CA6" s="3"/>
      <c r="CC6" s="1">
        <f t="shared" si="0"/>
        <v>1600</v>
      </c>
      <c r="CD6" s="1">
        <f t="shared" si="1"/>
        <v>17280</v>
      </c>
      <c r="CE6" s="1">
        <f t="shared" si="2"/>
        <v>6400</v>
      </c>
      <c r="CF6" s="12">
        <f t="shared" si="3"/>
        <v>4</v>
      </c>
      <c r="CG6" s="12">
        <f t="shared" si="13"/>
        <v>2.7</v>
      </c>
      <c r="CI6" s="1">
        <f t="shared" si="4"/>
        <v>1600</v>
      </c>
      <c r="CJ6" s="1">
        <f t="shared" si="5"/>
        <v>17280</v>
      </c>
      <c r="CK6" s="1">
        <f t="shared" si="6"/>
        <v>6400</v>
      </c>
      <c r="CL6" s="12">
        <f t="shared" si="14"/>
        <v>4</v>
      </c>
      <c r="CM6" s="12">
        <f t="shared" si="15"/>
        <v>2.7</v>
      </c>
      <c r="CO6" s="1">
        <f t="shared" si="7"/>
        <v>0</v>
      </c>
      <c r="CP6" s="1">
        <f t="shared" si="8"/>
        <v>0</v>
      </c>
      <c r="CQ6" s="1">
        <f t="shared" si="9"/>
        <v>0</v>
      </c>
      <c r="CR6" s="12">
        <f t="shared" si="16"/>
        <v>0</v>
      </c>
      <c r="CS6" s="12">
        <f t="shared" si="17"/>
        <v>0</v>
      </c>
      <c r="CV6" s="8">
        <f t="shared" si="18"/>
        <v>4</v>
      </c>
      <c r="CW6" s="5">
        <v>1</v>
      </c>
      <c r="CX6" s="45">
        <f t="shared" si="138"/>
        <v>1</v>
      </c>
      <c r="CY6" s="25">
        <f t="shared" si="10"/>
        <v>36</v>
      </c>
      <c r="CZ6" s="25">
        <f t="shared" si="19"/>
        <v>65</v>
      </c>
      <c r="DA6" s="47">
        <f t="shared" ref="DA6:DA10" si="181">DA5</f>
        <v>1.5</v>
      </c>
      <c r="DB6" s="3">
        <f t="shared" si="20"/>
        <v>9</v>
      </c>
      <c r="DC6" s="3">
        <f t="shared" ref="DC6:DC17" si="182">DC5</f>
        <v>2</v>
      </c>
      <c r="DD6" s="3">
        <f t="shared" si="21"/>
        <v>800</v>
      </c>
      <c r="DE6" s="20">
        <f t="shared" si="22"/>
        <v>4.6296296296296294E-2</v>
      </c>
      <c r="DF6" s="2"/>
      <c r="DG6" s="3">
        <f>IF(CW6,cioCFTiPrice(DG5,CV6),DG5)</f>
        <v>0</v>
      </c>
      <c r="DH6" s="20">
        <v>0</v>
      </c>
      <c r="DI6" s="33" t="str">
        <f t="shared" si="23"/>
        <v>1h 0m</v>
      </c>
      <c r="DJ6" s="46">
        <f>DJ5</f>
        <v>2</v>
      </c>
      <c r="DK6" s="28">
        <f t="shared" si="24"/>
        <v>3600</v>
      </c>
      <c r="DN6" s="8">
        <f t="shared" si="139"/>
        <v>4</v>
      </c>
      <c r="DO6" s="5">
        <v>1</v>
      </c>
      <c r="DP6" s="47">
        <v>1</v>
      </c>
      <c r="DQ6" s="25">
        <f t="shared" si="25"/>
        <v>36</v>
      </c>
      <c r="DR6" s="25">
        <f t="shared" si="140"/>
        <v>65</v>
      </c>
      <c r="DS6" s="47">
        <v>1</v>
      </c>
      <c r="DT6" s="25">
        <f t="shared" si="26"/>
        <v>9</v>
      </c>
      <c r="DU6" s="47">
        <v>1</v>
      </c>
      <c r="DV6" s="25">
        <f t="shared" si="27"/>
        <v>800</v>
      </c>
      <c r="DW6" s="2">
        <v>1</v>
      </c>
      <c r="DX6" s="25">
        <f t="shared" si="28"/>
        <v>0</v>
      </c>
      <c r="DY6" s="33" t="str">
        <f t="shared" si="29"/>
        <v>1h 0m</v>
      </c>
      <c r="DZ6" s="46">
        <v>1</v>
      </c>
      <c r="EA6" s="25">
        <f t="shared" si="30"/>
        <v>3600</v>
      </c>
      <c r="EB6" s="45">
        <v>3</v>
      </c>
      <c r="EC6" s="1">
        <f t="shared" si="31"/>
        <v>9600</v>
      </c>
      <c r="ED6" s="3"/>
      <c r="EE6" s="8">
        <f t="shared" si="141"/>
        <v>4</v>
      </c>
      <c r="EF6" s="5">
        <v>1</v>
      </c>
      <c r="EG6" s="47">
        <v>1</v>
      </c>
      <c r="EH6" s="25">
        <f t="shared" si="32"/>
        <v>36</v>
      </c>
      <c r="EI6" s="25">
        <f t="shared" si="142"/>
        <v>65</v>
      </c>
      <c r="EJ6" s="47">
        <v>1</v>
      </c>
      <c r="EK6" s="25">
        <f t="shared" si="33"/>
        <v>9</v>
      </c>
      <c r="EL6" s="47">
        <v>0.5</v>
      </c>
      <c r="EM6" s="25">
        <f t="shared" si="34"/>
        <v>400</v>
      </c>
      <c r="EN6" s="2">
        <v>1</v>
      </c>
      <c r="EO6" s="25">
        <f t="shared" si="35"/>
        <v>0</v>
      </c>
      <c r="EP6" s="33" t="str">
        <f t="shared" si="36"/>
        <v>1h 0m</v>
      </c>
      <c r="EQ6" s="46">
        <v>1</v>
      </c>
      <c r="ER6" s="25">
        <f t="shared" si="37"/>
        <v>3600</v>
      </c>
      <c r="ES6" s="45">
        <f t="shared" ref="ES6:ES12" si="183">ES5</f>
        <v>2</v>
      </c>
      <c r="ET6" s="3">
        <f t="shared" si="38"/>
        <v>800</v>
      </c>
      <c r="EU6" s="7">
        <f t="shared" ref="EU6:EU17" si="184">EU5</f>
        <v>2</v>
      </c>
      <c r="EV6" s="3">
        <f t="shared" si="39"/>
        <v>3200</v>
      </c>
      <c r="EW6" s="6" t="str">
        <f t="shared" si="40"/>
        <v>4h 0m</v>
      </c>
      <c r="EY6" s="8">
        <f t="shared" si="143"/>
        <v>4</v>
      </c>
      <c r="EZ6" s="5">
        <v>1</v>
      </c>
      <c r="FA6" s="47">
        <v>1</v>
      </c>
      <c r="FB6" s="25">
        <f t="shared" si="41"/>
        <v>36</v>
      </c>
      <c r="FC6" s="25">
        <f t="shared" si="144"/>
        <v>65</v>
      </c>
      <c r="FD6" s="47">
        <v>1</v>
      </c>
      <c r="FE6" s="25">
        <f t="shared" si="42"/>
        <v>9</v>
      </c>
      <c r="FF6" s="47">
        <v>1</v>
      </c>
      <c r="FG6" s="25">
        <f t="shared" si="43"/>
        <v>800</v>
      </c>
      <c r="FH6" s="2">
        <v>1</v>
      </c>
      <c r="FI6" s="25">
        <f t="shared" si="44"/>
        <v>0</v>
      </c>
      <c r="FJ6" s="33" t="str">
        <f t="shared" si="45"/>
        <v>1h 0m</v>
      </c>
      <c r="FK6" s="46">
        <v>1</v>
      </c>
      <c r="FL6" s="25">
        <f t="shared" si="46"/>
        <v>3600</v>
      </c>
      <c r="FM6" s="45">
        <v>3</v>
      </c>
      <c r="FN6" s="1">
        <f t="shared" si="47"/>
        <v>9600</v>
      </c>
      <c r="FO6" s="3"/>
      <c r="FP6" s="8">
        <f t="shared" si="145"/>
        <v>4</v>
      </c>
      <c r="FQ6" s="5">
        <v>1</v>
      </c>
      <c r="FR6" s="47">
        <v>1</v>
      </c>
      <c r="FS6" s="25">
        <f t="shared" si="48"/>
        <v>36</v>
      </c>
      <c r="FT6" s="25">
        <f t="shared" si="146"/>
        <v>65</v>
      </c>
      <c r="FU6" s="47">
        <v>1</v>
      </c>
      <c r="FV6" s="25">
        <f t="shared" si="49"/>
        <v>9</v>
      </c>
      <c r="FW6" s="47">
        <v>0.5</v>
      </c>
      <c r="FX6" s="25">
        <f t="shared" si="50"/>
        <v>400</v>
      </c>
      <c r="FY6" s="2">
        <v>1</v>
      </c>
      <c r="FZ6" s="25">
        <f t="shared" si="51"/>
        <v>0</v>
      </c>
      <c r="GA6" s="33" t="str">
        <f t="shared" si="52"/>
        <v>1h 0m</v>
      </c>
      <c r="GB6" s="46">
        <v>1</v>
      </c>
      <c r="GC6" s="25">
        <f t="shared" si="53"/>
        <v>3600</v>
      </c>
      <c r="GD6" s="45">
        <f t="shared" ref="GD6:GD12" si="185">GD5</f>
        <v>2</v>
      </c>
      <c r="GE6" s="3">
        <f t="shared" si="54"/>
        <v>800</v>
      </c>
      <c r="GF6" s="7">
        <f t="shared" ref="GF6:GF9" si="186">GF5</f>
        <v>2</v>
      </c>
      <c r="GG6" s="3">
        <f t="shared" si="55"/>
        <v>3200</v>
      </c>
      <c r="GH6" s="6" t="str">
        <f t="shared" si="56"/>
        <v>4h 0m</v>
      </c>
      <c r="GJ6" s="8">
        <f t="shared" si="147"/>
        <v>0</v>
      </c>
      <c r="GK6" s="5">
        <v>0</v>
      </c>
      <c r="GL6" s="47">
        <v>1</v>
      </c>
      <c r="GM6" s="25">
        <f t="shared" si="57"/>
        <v>0</v>
      </c>
      <c r="GN6" s="25">
        <f t="shared" si="148"/>
        <v>0</v>
      </c>
      <c r="GO6" s="47">
        <v>1</v>
      </c>
      <c r="GP6" s="25">
        <f t="shared" si="58"/>
        <v>0</v>
      </c>
      <c r="GQ6" s="47">
        <v>1</v>
      </c>
      <c r="GR6" s="25">
        <f t="shared" si="59"/>
        <v>0</v>
      </c>
      <c r="GS6" s="2">
        <v>1</v>
      </c>
      <c r="GT6" s="25">
        <f t="shared" si="60"/>
        <v>0</v>
      </c>
      <c r="GU6" s="33" t="str">
        <f t="shared" si="61"/>
        <v>0h 0m</v>
      </c>
      <c r="GV6" s="46">
        <v>1</v>
      </c>
      <c r="GW6" s="25">
        <f t="shared" si="62"/>
        <v>0</v>
      </c>
      <c r="GX6" s="45">
        <v>3</v>
      </c>
      <c r="GY6" s="1">
        <f t="shared" si="63"/>
        <v>0</v>
      </c>
      <c r="GZ6" s="3"/>
      <c r="HA6" s="8">
        <f t="shared" si="149"/>
        <v>0</v>
      </c>
      <c r="HB6" s="5">
        <v>0</v>
      </c>
      <c r="HC6" s="47">
        <v>1</v>
      </c>
      <c r="HD6" s="25">
        <f t="shared" si="64"/>
        <v>0</v>
      </c>
      <c r="HE6" s="25">
        <f t="shared" si="150"/>
        <v>0</v>
      </c>
      <c r="HF6" s="47">
        <v>1</v>
      </c>
      <c r="HG6" s="25">
        <f t="shared" si="65"/>
        <v>0</v>
      </c>
      <c r="HH6" s="47">
        <v>0.5</v>
      </c>
      <c r="HI6" s="25">
        <f t="shared" si="66"/>
        <v>0</v>
      </c>
      <c r="HJ6" s="2">
        <v>1</v>
      </c>
      <c r="HK6" s="25">
        <f t="shared" si="67"/>
        <v>0</v>
      </c>
      <c r="HL6" s="33" t="str">
        <f t="shared" si="68"/>
        <v>0h 0m</v>
      </c>
      <c r="HM6" s="46">
        <v>1</v>
      </c>
      <c r="HN6" s="25">
        <f t="shared" si="69"/>
        <v>0</v>
      </c>
      <c r="HO6" s="42">
        <v>0</v>
      </c>
      <c r="HP6" s="3">
        <f>IF(HB6,baseBetterNumbers(HP5*HO6),HP5)</f>
        <v>0</v>
      </c>
      <c r="HQ6" s="7">
        <f t="shared" ref="HQ6:HQ8" si="187">HQ5</f>
        <v>2</v>
      </c>
      <c r="HR6" s="3">
        <f>IF(HB6,baseBetterNumbers(HR5*HQ6),HR5)</f>
        <v>0</v>
      </c>
      <c r="HS6" s="6" t="e">
        <f t="shared" si="70"/>
        <v>#VALUE!</v>
      </c>
      <c r="HU6" s="8">
        <f t="shared" si="151"/>
        <v>4</v>
      </c>
      <c r="HV6" s="5">
        <v>1</v>
      </c>
      <c r="HW6" s="47">
        <v>1</v>
      </c>
      <c r="HX6" s="25">
        <f t="shared" si="71"/>
        <v>36</v>
      </c>
      <c r="HY6" s="25">
        <f t="shared" si="152"/>
        <v>65</v>
      </c>
      <c r="HZ6" s="47">
        <v>2</v>
      </c>
      <c r="IA6" s="25">
        <f t="shared" si="72"/>
        <v>18</v>
      </c>
      <c r="IB6" s="47">
        <v>2.5</v>
      </c>
      <c r="IC6" s="25">
        <f t="shared" si="73"/>
        <v>2000</v>
      </c>
      <c r="ID6" s="2">
        <v>2.5</v>
      </c>
      <c r="IE6" s="25">
        <f t="shared" si="74"/>
        <v>0</v>
      </c>
      <c r="IF6" s="33" t="str">
        <f t="shared" si="75"/>
        <v>3h 30m</v>
      </c>
      <c r="IG6" s="46">
        <v>3.5</v>
      </c>
      <c r="IH6" s="25">
        <f t="shared" si="76"/>
        <v>12600</v>
      </c>
      <c r="IK6" s="8">
        <f t="shared" si="153"/>
        <v>0</v>
      </c>
      <c r="IL6" s="5">
        <v>0</v>
      </c>
      <c r="IM6" s="47">
        <v>1</v>
      </c>
      <c r="IN6" s="25">
        <f t="shared" si="77"/>
        <v>0</v>
      </c>
      <c r="IO6" s="25">
        <f t="shared" si="154"/>
        <v>0</v>
      </c>
      <c r="IP6" s="47">
        <v>2</v>
      </c>
      <c r="IQ6" s="25">
        <f t="shared" si="78"/>
        <v>0</v>
      </c>
      <c r="IR6" s="47">
        <v>2.5</v>
      </c>
      <c r="IS6" s="25">
        <f t="shared" si="79"/>
        <v>0</v>
      </c>
      <c r="IT6" s="2">
        <v>2.5</v>
      </c>
      <c r="IU6" s="25">
        <f t="shared" si="80"/>
        <v>0</v>
      </c>
      <c r="IV6" s="33" t="str">
        <f t="shared" si="81"/>
        <v>0h 0m</v>
      </c>
      <c r="IW6" s="46">
        <v>3.5</v>
      </c>
      <c r="IX6" s="25">
        <f t="shared" si="82"/>
        <v>0</v>
      </c>
      <c r="IY6" s="25">
        <v>0</v>
      </c>
      <c r="IZ6" s="25">
        <v>0</v>
      </c>
      <c r="JA6" s="25">
        <v>0</v>
      </c>
      <c r="JB6" s="7"/>
      <c r="JC6" s="8">
        <f t="shared" si="155"/>
        <v>0</v>
      </c>
      <c r="JD6" s="5">
        <v>0</v>
      </c>
      <c r="JE6" s="47">
        <v>1</v>
      </c>
      <c r="JF6" s="25">
        <f t="shared" si="83"/>
        <v>0</v>
      </c>
      <c r="JG6" s="25">
        <f t="shared" si="156"/>
        <v>0</v>
      </c>
      <c r="JH6" s="47">
        <v>2</v>
      </c>
      <c r="JI6" s="25">
        <f t="shared" si="84"/>
        <v>0</v>
      </c>
      <c r="JJ6" s="47">
        <v>2.5</v>
      </c>
      <c r="JK6" s="25">
        <f t="shared" si="85"/>
        <v>0</v>
      </c>
      <c r="JL6" s="2">
        <v>2.5</v>
      </c>
      <c r="JM6" s="25">
        <f t="shared" si="86"/>
        <v>0</v>
      </c>
      <c r="JN6" s="33" t="str">
        <f t="shared" si="87"/>
        <v>0h 0m</v>
      </c>
      <c r="JO6" s="46">
        <v>3.5</v>
      </c>
      <c r="JP6" s="25">
        <f t="shared" si="88"/>
        <v>0</v>
      </c>
      <c r="JQ6" s="7"/>
      <c r="JR6" s="8">
        <f t="shared" si="89"/>
        <v>1</v>
      </c>
      <c r="JS6" s="5">
        <v>0</v>
      </c>
      <c r="JT6" s="47">
        <v>1</v>
      </c>
      <c r="JU6" s="25">
        <f t="shared" si="90"/>
        <v>0</v>
      </c>
      <c r="JV6" s="25">
        <f t="shared" si="157"/>
        <v>0</v>
      </c>
      <c r="JW6" s="47">
        <v>1</v>
      </c>
      <c r="JX6" s="25">
        <f t="shared" si="91"/>
        <v>0</v>
      </c>
      <c r="JY6" s="47">
        <v>1.5</v>
      </c>
      <c r="JZ6" s="25">
        <f>IF(JS6,baseBetterNumbers(JY6*$DD6),IF(JR6-1,JZ5,0))</f>
        <v>0</v>
      </c>
      <c r="KA6" s="2">
        <v>1.5</v>
      </c>
      <c r="KB6" s="25">
        <f t="shared" si="92"/>
        <v>0</v>
      </c>
      <c r="KC6" s="33" t="str">
        <f t="shared" si="93"/>
        <v>0h 0m</v>
      </c>
      <c r="KD6" s="46">
        <v>1</v>
      </c>
      <c r="KE6" s="25">
        <f t="shared" si="94"/>
        <v>0</v>
      </c>
      <c r="KF6" s="7"/>
      <c r="KG6" s="8">
        <f t="shared" si="158"/>
        <v>4</v>
      </c>
      <c r="KH6" s="5">
        <v>1</v>
      </c>
      <c r="KI6" s="47">
        <v>1</v>
      </c>
      <c r="KJ6" s="25">
        <f t="shared" si="95"/>
        <v>36</v>
      </c>
      <c r="KK6" s="25">
        <f t="shared" si="159"/>
        <v>65</v>
      </c>
      <c r="KL6" s="47">
        <v>1</v>
      </c>
      <c r="KM6" s="25">
        <f t="shared" si="96"/>
        <v>9</v>
      </c>
      <c r="KN6" s="47">
        <v>1.5</v>
      </c>
      <c r="KO6" s="25">
        <f t="shared" si="97"/>
        <v>1200</v>
      </c>
      <c r="KP6" s="2">
        <v>1.5</v>
      </c>
      <c r="KQ6" s="25">
        <f t="shared" si="98"/>
        <v>0</v>
      </c>
      <c r="KR6" s="33" t="str">
        <f t="shared" si="99"/>
        <v>1h 0m</v>
      </c>
      <c r="KS6" s="46">
        <v>1</v>
      </c>
      <c r="KT6" s="25">
        <f t="shared" si="100"/>
        <v>3600</v>
      </c>
      <c r="KU6" s="7"/>
      <c r="KV6" s="8">
        <f t="shared" si="160"/>
        <v>0</v>
      </c>
      <c r="KW6" s="5">
        <v>0</v>
      </c>
      <c r="KX6" s="47">
        <v>1</v>
      </c>
      <c r="KY6" s="25">
        <f t="shared" si="101"/>
        <v>0</v>
      </c>
      <c r="KZ6" s="25">
        <f t="shared" si="161"/>
        <v>0</v>
      </c>
      <c r="LA6" s="47">
        <v>1</v>
      </c>
      <c r="LB6" s="25">
        <f t="shared" si="102"/>
        <v>0</v>
      </c>
      <c r="LC6" s="47">
        <v>1.5</v>
      </c>
      <c r="LD6" s="25">
        <f t="shared" si="103"/>
        <v>0</v>
      </c>
      <c r="LE6" s="2">
        <v>1.5</v>
      </c>
      <c r="LF6" s="25">
        <f t="shared" si="162"/>
        <v>0</v>
      </c>
      <c r="LG6" s="33" t="str">
        <f t="shared" si="104"/>
        <v>0h 0m</v>
      </c>
      <c r="LH6" s="46">
        <v>1</v>
      </c>
      <c r="LI6" s="25">
        <f t="shared" si="105"/>
        <v>0</v>
      </c>
      <c r="LJ6" s="7"/>
      <c r="LK6" s="8">
        <f t="shared" si="163"/>
        <v>0</v>
      </c>
      <c r="LL6" s="5">
        <v>0</v>
      </c>
      <c r="LM6" s="47">
        <v>1</v>
      </c>
      <c r="LN6" s="25">
        <f t="shared" si="106"/>
        <v>0</v>
      </c>
      <c r="LO6" s="25">
        <f t="shared" si="164"/>
        <v>0</v>
      </c>
      <c r="LP6" s="47">
        <v>1</v>
      </c>
      <c r="LQ6" s="25">
        <f t="shared" si="107"/>
        <v>0</v>
      </c>
      <c r="LR6" s="47">
        <v>1.5</v>
      </c>
      <c r="LS6" s="25">
        <f t="shared" si="108"/>
        <v>0</v>
      </c>
      <c r="LT6" s="2">
        <v>1.5</v>
      </c>
      <c r="LU6" s="25">
        <f t="shared" si="165"/>
        <v>0</v>
      </c>
      <c r="LV6" s="33" t="str">
        <f t="shared" si="109"/>
        <v>0h 0m</v>
      </c>
      <c r="LW6" s="46">
        <v>1</v>
      </c>
      <c r="LX6" s="25">
        <f t="shared" si="110"/>
        <v>0</v>
      </c>
      <c r="LY6" s="7"/>
      <c r="LZ6" s="8">
        <f t="shared" si="166"/>
        <v>0</v>
      </c>
      <c r="MA6" s="5">
        <v>0</v>
      </c>
      <c r="MB6" s="47">
        <v>1</v>
      </c>
      <c r="MC6" s="25">
        <f t="shared" si="111"/>
        <v>0</v>
      </c>
      <c r="MD6" s="25">
        <f t="shared" si="167"/>
        <v>0</v>
      </c>
      <c r="ME6" s="47">
        <v>1</v>
      </c>
      <c r="MF6" s="25">
        <f t="shared" si="112"/>
        <v>0</v>
      </c>
      <c r="MG6" s="47">
        <v>1.5</v>
      </c>
      <c r="MH6" s="25">
        <f t="shared" si="113"/>
        <v>0</v>
      </c>
      <c r="MI6" s="2">
        <v>1.5</v>
      </c>
      <c r="MJ6" s="25">
        <f t="shared" si="168"/>
        <v>0</v>
      </c>
      <c r="MK6" s="33" t="str">
        <f t="shared" si="114"/>
        <v>0h 0m</v>
      </c>
      <c r="ML6" s="46">
        <v>1</v>
      </c>
      <c r="MM6" s="25">
        <f t="shared" si="115"/>
        <v>0</v>
      </c>
      <c r="MN6" s="7"/>
      <c r="MO6" s="8">
        <f t="shared" si="169"/>
        <v>2</v>
      </c>
      <c r="MP6" s="5">
        <v>1</v>
      </c>
      <c r="MQ6" s="47">
        <v>1</v>
      </c>
      <c r="MR6" s="25">
        <f t="shared" si="116"/>
        <v>36</v>
      </c>
      <c r="MS6" s="25">
        <f t="shared" si="170"/>
        <v>54</v>
      </c>
      <c r="MT6" s="47">
        <v>1.5</v>
      </c>
      <c r="MU6" s="25">
        <f t="shared" si="117"/>
        <v>14</v>
      </c>
      <c r="MV6" s="47">
        <v>4</v>
      </c>
      <c r="MW6" s="25">
        <f t="shared" si="118"/>
        <v>3200</v>
      </c>
      <c r="MX6" s="2">
        <v>1.5</v>
      </c>
      <c r="MY6" s="25">
        <f t="shared" si="171"/>
        <v>0</v>
      </c>
      <c r="MZ6" s="33" t="str">
        <f t="shared" si="119"/>
        <v>1h 0m</v>
      </c>
      <c r="NA6" s="46">
        <v>1</v>
      </c>
      <c r="NB6" s="25">
        <f t="shared" si="120"/>
        <v>3600</v>
      </c>
      <c r="NC6" s="7"/>
      <c r="ND6" s="8">
        <f t="shared" si="172"/>
        <v>3</v>
      </c>
      <c r="NE6" s="5">
        <v>1</v>
      </c>
      <c r="NF6" s="47">
        <v>1</v>
      </c>
      <c r="NG6" s="25">
        <f t="shared" si="121"/>
        <v>36</v>
      </c>
      <c r="NH6" s="25">
        <f t="shared" si="173"/>
        <v>63</v>
      </c>
      <c r="NI6" s="47">
        <v>4</v>
      </c>
      <c r="NJ6" s="25">
        <f>IF(NE6,baseBetterNumbers(NI6*$DD6),IF(ND6,NJ5,0))</f>
        <v>3200</v>
      </c>
      <c r="NK6" s="2">
        <v>1.5</v>
      </c>
      <c r="NL6" s="25">
        <f>IF(NE6,baseBetterNumbers(NK6*$DG6),IF(ND6-1,NL5,0))</f>
        <v>0</v>
      </c>
      <c r="NM6" s="33" t="str">
        <f t="shared" si="122"/>
        <v>1h 0m</v>
      </c>
      <c r="NN6" s="46">
        <v>1</v>
      </c>
      <c r="NO6" s="25">
        <f>IF(NE6,baseBetterNumbers(NN6*$DK6),IF(ND6,NO5,0))</f>
        <v>3600</v>
      </c>
      <c r="NP6" s="47">
        <v>2</v>
      </c>
      <c r="NQ6" s="25">
        <f t="shared" ref="NQ6:NQ17" si="188">NQ5*NP6</f>
        <v>160</v>
      </c>
      <c r="NR6" s="1">
        <f t="shared" si="123"/>
        <v>320</v>
      </c>
      <c r="NS6" s="1" t="e">
        <f>G6+AJ6*DT6+AL6*EK6+AN6*FE6+AP6*FV6+AR6*GP6+AT6*HG6+AV6*IA6+AX6*IQ6+AZ6*JI6+BD6*KM6+BF6*LB6+BH6*LQ6+BJ6*MF6+BL6*MU6+BR6*OA6+BT6*OP6+BV6*#REF!+BX6*#REF!+BZ6*PU6+#REF!*#REF!+#REF!*#REF!</f>
        <v>#REF!</v>
      </c>
      <c r="NU6" s="8">
        <f t="shared" si="174"/>
        <v>1</v>
      </c>
      <c r="NV6" s="5">
        <v>1</v>
      </c>
      <c r="NW6" s="47">
        <v>1</v>
      </c>
      <c r="NX6" s="25">
        <f t="shared" si="124"/>
        <v>36</v>
      </c>
      <c r="NY6" s="25">
        <f t="shared" si="175"/>
        <v>36</v>
      </c>
      <c r="NZ6" s="47">
        <v>2</v>
      </c>
      <c r="OA6" s="25">
        <f t="shared" si="125"/>
        <v>18</v>
      </c>
      <c r="OB6" s="47">
        <v>10</v>
      </c>
      <c r="OC6" s="25">
        <f t="shared" si="126"/>
        <v>8000</v>
      </c>
      <c r="OD6" s="2">
        <v>1.5</v>
      </c>
      <c r="OE6" s="25">
        <f t="shared" si="176"/>
        <v>0</v>
      </c>
      <c r="OF6" s="33" t="str">
        <f t="shared" si="127"/>
        <v>3h 0m</v>
      </c>
      <c r="OG6" s="46">
        <v>3</v>
      </c>
      <c r="OH6" s="25">
        <f t="shared" si="128"/>
        <v>10800</v>
      </c>
      <c r="OI6" s="7"/>
      <c r="OJ6" s="8">
        <f t="shared" si="177"/>
        <v>1</v>
      </c>
      <c r="OK6" s="5">
        <v>1</v>
      </c>
      <c r="OL6" s="47">
        <v>1</v>
      </c>
      <c r="OM6" s="25">
        <f t="shared" si="129"/>
        <v>36</v>
      </c>
      <c r="ON6" s="25">
        <f t="shared" si="178"/>
        <v>36</v>
      </c>
      <c r="OO6" s="47">
        <v>2</v>
      </c>
      <c r="OP6" s="25">
        <f t="shared" si="130"/>
        <v>18</v>
      </c>
      <c r="OQ6" s="47">
        <v>12</v>
      </c>
      <c r="OR6" s="25">
        <f t="shared" si="131"/>
        <v>9600</v>
      </c>
      <c r="OS6" s="2">
        <v>1.5</v>
      </c>
      <c r="OT6" s="25">
        <f t="shared" si="179"/>
        <v>0</v>
      </c>
      <c r="OU6" s="33" t="str">
        <f t="shared" si="132"/>
        <v>5h 0m</v>
      </c>
      <c r="OV6" s="46">
        <v>5</v>
      </c>
      <c r="OW6" s="25">
        <f t="shared" si="133"/>
        <v>18000</v>
      </c>
      <c r="OX6" s="82">
        <v>0.75</v>
      </c>
      <c r="OY6" s="82">
        <v>0.5</v>
      </c>
      <c r="OZ6" s="78" t="str">
        <f>secToTime(PA6)</f>
        <v>5h 0m</v>
      </c>
      <c r="PA6" s="25">
        <v>18000</v>
      </c>
      <c r="PB6" s="47">
        <v>2</v>
      </c>
      <c r="PC6" s="25">
        <f>baseBetterNumbers(DD6*PB6)</f>
        <v>1600</v>
      </c>
      <c r="PD6" s="82">
        <v>0.5</v>
      </c>
      <c r="PE6" s="82">
        <v>0</v>
      </c>
      <c r="PF6" s="25">
        <v>0</v>
      </c>
      <c r="PG6" s="78" t="str">
        <f>secToTime(PH6)</f>
        <v>20h 0m</v>
      </c>
      <c r="PH6" s="25">
        <f>PA6*4</f>
        <v>72000</v>
      </c>
      <c r="PI6" s="47">
        <v>10</v>
      </c>
      <c r="PJ6" s="25">
        <f>baseBetterNumbers(DD6*PI6)</f>
        <v>8000</v>
      </c>
      <c r="PK6" s="82">
        <v>1</v>
      </c>
      <c r="PL6" s="82">
        <v>0.25</v>
      </c>
      <c r="PM6" s="82">
        <v>0</v>
      </c>
      <c r="PN6" s="25"/>
      <c r="PO6" s="5">
        <v>0</v>
      </c>
      <c r="PP6" s="5">
        <v>0</v>
      </c>
      <c r="PQ6" s="5"/>
      <c r="PR6" s="25">
        <f>IF(PP6,cio2StepsChangesX(PR5,BZ6,Conf!BM$40,Conf!BM$41,Conf!BN$39,Conf!BN$40,Conf!BN$41),PR5)</f>
        <v>0</v>
      </c>
      <c r="PS6" s="25">
        <f t="shared" si="180"/>
        <v>0</v>
      </c>
      <c r="PT6" s="25"/>
      <c r="PU6" s="3">
        <f>IF(PP6,cio2StepsChangesX(PU5,PO6,Conf!BM$46,Conf!BM$47,Conf!BN$45,Conf!BN$46,Conf!BN$47),PU5)</f>
        <v>0</v>
      </c>
      <c r="PV6" s="3"/>
      <c r="PW6" s="3">
        <f>IF(PP6,cio2StepsChangesX(PW5,PO6,Conf!BY$18,Conf!BY$19,Conf!BZ$17,Conf!BZ$18,Conf!BZ$19),PW5)</f>
        <v>0</v>
      </c>
      <c r="PX6" s="20"/>
      <c r="PY6" s="3">
        <f>IF(PP6,cioCFTiPrice(PY5,PO6),PY5)</f>
        <v>0</v>
      </c>
      <c r="PZ6" s="33" t="str">
        <f t="shared" ref="PZ6:PZ11" si="189">secToTime(QB6)</f>
        <v>0h 0m</v>
      </c>
      <c r="QA6" s="33"/>
      <c r="QB6" s="7">
        <f>cioUpTime(Conf!E$57,A6,PW6)</f>
        <v>0</v>
      </c>
    </row>
    <row r="7" spans="1:444">
      <c r="A7" s="23">
        <f t="shared" si="134"/>
        <v>5</v>
      </c>
      <c r="B7" s="8">
        <v>1</v>
      </c>
      <c r="C7" s="47">
        <v>0</v>
      </c>
      <c r="D7" s="25">
        <f>IF(B7,baseBetterNumbers(C7*$CY7),IF(A7-1,D6,0))</f>
        <v>0</v>
      </c>
      <c r="E7" s="25">
        <f t="shared" si="135"/>
        <v>0</v>
      </c>
      <c r="F7" s="47">
        <v>1</v>
      </c>
      <c r="G7" s="25">
        <f>IF(B7,baseBetterNumbers(F7*$DB7),IF(A7-1,G6,0))</f>
        <v>14</v>
      </c>
      <c r="H7" s="47">
        <v>4</v>
      </c>
      <c r="I7" s="25">
        <f>IF(B7,baseBetterNumbers(H7*$DD7),IF(A7-1,I6,0))</f>
        <v>6400</v>
      </c>
      <c r="J7" s="2">
        <v>3</v>
      </c>
      <c r="K7" s="25">
        <f>IF(B7,baseBetterNumbers(J7*$DG7),IF(A7-1,K6,0))</f>
        <v>0</v>
      </c>
      <c r="L7" s="33" t="str">
        <f t="shared" si="11"/>
        <v>2h 0m</v>
      </c>
      <c r="M7" s="46">
        <v>1</v>
      </c>
      <c r="N7" s="25">
        <f>IF(B7,baseBetterNumbers(M7*$DK7),IF(A7-1,N6,0))</f>
        <v>7200</v>
      </c>
      <c r="O7" s="7">
        <f t="shared" si="136"/>
        <v>0.8</v>
      </c>
      <c r="P7" s="3">
        <f>baseBetterNumbers(O7*EC7)</f>
        <v>15400</v>
      </c>
      <c r="Q7" s="3">
        <f>baseBetterNumbers(O7*FN7)</f>
        <v>15400</v>
      </c>
      <c r="R7" s="3">
        <f>baseBetterNumbers(O7*GY7)</f>
        <v>0</v>
      </c>
      <c r="S7" s="3">
        <v>40</v>
      </c>
      <c r="T7" s="38">
        <v>3.0000000000000001E-3</v>
      </c>
      <c r="U7" s="38">
        <v>2.5000000000000001E-4</v>
      </c>
      <c r="V7" s="38">
        <v>2.5000000000000001E-4</v>
      </c>
      <c r="W7" s="38">
        <v>2.5000000000000001E-4</v>
      </c>
      <c r="X7" s="3">
        <v>1</v>
      </c>
      <c r="Y7" s="3"/>
      <c r="Z7" s="3"/>
      <c r="AA7" s="3"/>
      <c r="AB7" s="3"/>
      <c r="AC7" s="3"/>
      <c r="AD7" s="3" t="e">
        <f>-AC7+E7+AJ7*DR7+AL7*EI7+AN7*FC7+AP7*FT7+AR7*GN7+AT7*HE7+AV7*HY7+AX7*IO7+AZ7*JG7+BD7*KK7+BF7*KZ7+BH7*LO7+BJ7*MD7+BL7*MS7+BP7*NH7+BR7*NY7+BT7*ON7+BV7*#REF!+BX7*#REF!+BZ7*PS7+#REF!*#REF!+#REF!*#REF!</f>
        <v>#REF!</v>
      </c>
      <c r="AE7" s="3" t="e">
        <f t="shared" si="137"/>
        <v>#REF!</v>
      </c>
      <c r="AF7" s="3"/>
      <c r="AG7" s="3" t="e">
        <f>SUM(AI3:AI7)</f>
        <v>#REF!</v>
      </c>
      <c r="AH7" s="3">
        <f t="shared" si="12"/>
        <v>3</v>
      </c>
      <c r="AI7" s="3" t="e">
        <f>AK7+AM7+AO7+AQ7+AS7+AU7+AW7+AY7+BA7+BE7+BG7+BI7+BK7+BM7+BO7+BQ7+BS7+BU7+BW7+BY7+CA7+#REF!+#REF!</f>
        <v>#REF!</v>
      </c>
      <c r="AJ7" s="3">
        <f>SUM(AK3:AK7)</f>
        <v>1</v>
      </c>
      <c r="AK7" s="3"/>
      <c r="AL7" s="3">
        <f>SUM(AM3:AM7)</f>
        <v>3</v>
      </c>
      <c r="AM7" s="3">
        <v>1</v>
      </c>
      <c r="AN7" s="3">
        <f>SUM(AO3:AO7)</f>
        <v>1</v>
      </c>
      <c r="AO7" s="3"/>
      <c r="AP7" s="3">
        <f>SUM(AQ3:AQ7)</f>
        <v>3</v>
      </c>
      <c r="AQ7" s="3">
        <v>1</v>
      </c>
      <c r="AR7" s="3">
        <f>SUM(AS3:AS7)</f>
        <v>0</v>
      </c>
      <c r="AS7" s="3"/>
      <c r="AT7" s="3">
        <f>SUM(AU3:AU7)</f>
        <v>0</v>
      </c>
      <c r="AU7" s="3"/>
      <c r="AV7" s="3">
        <f>SUM(AW3:AW7)</f>
        <v>3</v>
      </c>
      <c r="AW7" s="3">
        <v>1</v>
      </c>
      <c r="AX7" s="3">
        <f>SUM(AY3:AY7)</f>
        <v>1</v>
      </c>
      <c r="AY7" s="24">
        <v>1</v>
      </c>
      <c r="AZ7" s="3">
        <f>SUM(BA3:BA7)</f>
        <v>0</v>
      </c>
      <c r="BA7" s="3"/>
      <c r="BB7" s="3">
        <f>SUM(BC3:BC7)</f>
        <v>8</v>
      </c>
      <c r="BC7" s="3">
        <v>2</v>
      </c>
      <c r="BD7" s="3">
        <f>SUM(BE3:BE7)</f>
        <v>3</v>
      </c>
      <c r="BE7" s="3"/>
      <c r="BF7" s="3">
        <f>SUM(BG3:BG7)</f>
        <v>0</v>
      </c>
      <c r="BG7" s="3"/>
      <c r="BH7" s="3">
        <f>SUM(BI3:BI7)</f>
        <v>0</v>
      </c>
      <c r="BI7" s="3"/>
      <c r="BJ7" s="3">
        <f>SUM(BK3:BK7)</f>
        <v>0</v>
      </c>
      <c r="BK7" s="3"/>
      <c r="BL7" s="3">
        <f>SUM(BM3:BM7)</f>
        <v>2</v>
      </c>
      <c r="BM7" s="3">
        <v>1</v>
      </c>
      <c r="BN7" s="3">
        <f>SUM(BO3:BO7)</f>
        <v>1</v>
      </c>
      <c r="BO7" s="3"/>
      <c r="BP7" s="3">
        <f>SUM(BQ3:BQ7)</f>
        <v>2</v>
      </c>
      <c r="BQ7" s="3"/>
      <c r="BR7" s="3">
        <f>SUM(BS3:BS7)</f>
        <v>1</v>
      </c>
      <c r="BS7" s="3"/>
      <c r="BT7" s="3">
        <f>SUM(BU3:BU7)</f>
        <v>1</v>
      </c>
      <c r="BU7" s="3"/>
      <c r="BV7" s="3">
        <f>SUM(BW3:BW7)</f>
        <v>0</v>
      </c>
      <c r="BW7" s="3"/>
      <c r="BX7" s="3">
        <f>SUM(BY3:BY7)</f>
        <v>0</v>
      </c>
      <c r="BY7" s="3"/>
      <c r="BZ7" s="3">
        <f>SUM(CA3:CA7)</f>
        <v>0</v>
      </c>
      <c r="CA7" s="3"/>
      <c r="CC7" s="1">
        <f t="shared" si="0"/>
        <v>3600</v>
      </c>
      <c r="CD7" s="1">
        <f t="shared" si="1"/>
        <v>34600</v>
      </c>
      <c r="CE7" s="1">
        <f t="shared" si="2"/>
        <v>19200</v>
      </c>
      <c r="CF7" s="12">
        <f t="shared" si="3"/>
        <v>5.333333333333333</v>
      </c>
      <c r="CG7" s="12">
        <f t="shared" si="13"/>
        <v>1.8020833333333333</v>
      </c>
      <c r="CI7" s="1">
        <f t="shared" si="4"/>
        <v>3600</v>
      </c>
      <c r="CJ7" s="1">
        <f t="shared" si="5"/>
        <v>34600</v>
      </c>
      <c r="CK7" s="1">
        <f t="shared" si="6"/>
        <v>19200</v>
      </c>
      <c r="CL7" s="12">
        <f t="shared" si="14"/>
        <v>5.333333333333333</v>
      </c>
      <c r="CM7" s="12">
        <f t="shared" si="15"/>
        <v>1.8020833333333333</v>
      </c>
      <c r="CO7" s="1">
        <f t="shared" si="7"/>
        <v>0</v>
      </c>
      <c r="CP7" s="1">
        <f t="shared" si="8"/>
        <v>0</v>
      </c>
      <c r="CQ7" s="1">
        <f t="shared" si="9"/>
        <v>0</v>
      </c>
      <c r="CR7" s="12">
        <f t="shared" si="16"/>
        <v>0</v>
      </c>
      <c r="CS7" s="12">
        <f t="shared" si="17"/>
        <v>0</v>
      </c>
      <c r="CV7" s="8">
        <f t="shared" si="18"/>
        <v>5</v>
      </c>
      <c r="CW7" s="8">
        <v>1</v>
      </c>
      <c r="CX7" s="45">
        <f t="shared" si="138"/>
        <v>1</v>
      </c>
      <c r="CY7" s="25">
        <f t="shared" si="10"/>
        <v>72</v>
      </c>
      <c r="CZ7" s="25">
        <f t="shared" si="19"/>
        <v>137</v>
      </c>
      <c r="DA7" s="47">
        <f t="shared" si="181"/>
        <v>1.5</v>
      </c>
      <c r="DB7" s="3">
        <f t="shared" si="20"/>
        <v>14</v>
      </c>
      <c r="DC7" s="3">
        <f t="shared" si="182"/>
        <v>2</v>
      </c>
      <c r="DD7" s="3">
        <f t="shared" si="21"/>
        <v>1600</v>
      </c>
      <c r="DE7" s="20">
        <f t="shared" si="22"/>
        <v>4.6242774566473986E-2</v>
      </c>
      <c r="DF7" s="2"/>
      <c r="DG7" s="3">
        <f>IF(CW7,cioCFTiPrice(DG6,CV7),DG6)</f>
        <v>0</v>
      </c>
      <c r="DH7" s="20">
        <v>0</v>
      </c>
      <c r="DI7" s="33" t="str">
        <f t="shared" si="23"/>
        <v>2h 0m</v>
      </c>
      <c r="DJ7" s="46">
        <f t="shared" ref="DJ7:DJ17" si="190">DJ6</f>
        <v>2</v>
      </c>
      <c r="DK7" s="28">
        <f t="shared" si="24"/>
        <v>7200</v>
      </c>
      <c r="DN7" s="8">
        <f t="shared" si="139"/>
        <v>5</v>
      </c>
      <c r="DO7" s="8">
        <v>1</v>
      </c>
      <c r="DP7" s="47">
        <v>1</v>
      </c>
      <c r="DQ7" s="25">
        <f t="shared" si="25"/>
        <v>72</v>
      </c>
      <c r="DR7" s="25">
        <f t="shared" si="140"/>
        <v>137</v>
      </c>
      <c r="DS7" s="47">
        <v>1</v>
      </c>
      <c r="DT7" s="25">
        <f t="shared" si="26"/>
        <v>14</v>
      </c>
      <c r="DU7" s="47">
        <v>1</v>
      </c>
      <c r="DV7" s="25">
        <f t="shared" si="27"/>
        <v>1600</v>
      </c>
      <c r="DW7" s="2">
        <v>1</v>
      </c>
      <c r="DX7" s="25">
        <f t="shared" si="28"/>
        <v>0</v>
      </c>
      <c r="DY7" s="33" t="str">
        <f t="shared" si="29"/>
        <v>2h 0m</v>
      </c>
      <c r="DZ7" s="46">
        <v>1</v>
      </c>
      <c r="EA7" s="25">
        <f t="shared" si="30"/>
        <v>7200</v>
      </c>
      <c r="EB7" s="45">
        <v>3</v>
      </c>
      <c r="EC7" s="1">
        <f t="shared" si="31"/>
        <v>19200</v>
      </c>
      <c r="ED7" s="3"/>
      <c r="EE7" s="8">
        <f t="shared" si="141"/>
        <v>5</v>
      </c>
      <c r="EF7" s="8">
        <v>1</v>
      </c>
      <c r="EG7" s="47">
        <v>1</v>
      </c>
      <c r="EH7" s="25">
        <f t="shared" si="32"/>
        <v>72</v>
      </c>
      <c r="EI7" s="25">
        <f t="shared" si="142"/>
        <v>137</v>
      </c>
      <c r="EJ7" s="47">
        <v>1</v>
      </c>
      <c r="EK7" s="25">
        <f t="shared" si="33"/>
        <v>14</v>
      </c>
      <c r="EL7" s="47">
        <v>0.5</v>
      </c>
      <c r="EM7" s="25">
        <f t="shared" si="34"/>
        <v>800</v>
      </c>
      <c r="EN7" s="2">
        <v>1</v>
      </c>
      <c r="EO7" s="25">
        <f t="shared" si="35"/>
        <v>0</v>
      </c>
      <c r="EP7" s="33" t="str">
        <f t="shared" si="36"/>
        <v>2h 0m</v>
      </c>
      <c r="EQ7" s="46">
        <v>1</v>
      </c>
      <c r="ER7" s="25">
        <f t="shared" si="37"/>
        <v>7200</v>
      </c>
      <c r="ES7" s="45">
        <v>1.5</v>
      </c>
      <c r="ET7" s="3">
        <f t="shared" si="38"/>
        <v>1200</v>
      </c>
      <c r="EU7" s="7">
        <f t="shared" si="184"/>
        <v>2</v>
      </c>
      <c r="EV7" s="3">
        <f t="shared" si="39"/>
        <v>6400</v>
      </c>
      <c r="EW7" s="6" t="str">
        <f t="shared" si="40"/>
        <v>5h 20m</v>
      </c>
      <c r="EY7" s="8">
        <f t="shared" si="143"/>
        <v>5</v>
      </c>
      <c r="EZ7" s="8">
        <v>1</v>
      </c>
      <c r="FA7" s="47">
        <v>1</v>
      </c>
      <c r="FB7" s="25">
        <f t="shared" si="41"/>
        <v>72</v>
      </c>
      <c r="FC7" s="25">
        <f t="shared" si="144"/>
        <v>137</v>
      </c>
      <c r="FD7" s="47">
        <v>1</v>
      </c>
      <c r="FE7" s="25">
        <f t="shared" si="42"/>
        <v>14</v>
      </c>
      <c r="FF7" s="47">
        <v>1</v>
      </c>
      <c r="FG7" s="25">
        <f t="shared" si="43"/>
        <v>1600</v>
      </c>
      <c r="FH7" s="2">
        <v>1</v>
      </c>
      <c r="FI7" s="25">
        <f t="shared" si="44"/>
        <v>0</v>
      </c>
      <c r="FJ7" s="33" t="str">
        <f t="shared" si="45"/>
        <v>2h 0m</v>
      </c>
      <c r="FK7" s="46">
        <v>1</v>
      </c>
      <c r="FL7" s="25">
        <f t="shared" si="46"/>
        <v>7200</v>
      </c>
      <c r="FM7" s="45">
        <v>3</v>
      </c>
      <c r="FN7" s="1">
        <f t="shared" si="47"/>
        <v>19200</v>
      </c>
      <c r="FO7" s="3"/>
      <c r="FP7" s="8">
        <f t="shared" si="145"/>
        <v>5</v>
      </c>
      <c r="FQ7" s="8">
        <v>1</v>
      </c>
      <c r="FR7" s="47">
        <v>1</v>
      </c>
      <c r="FS7" s="25">
        <f t="shared" si="48"/>
        <v>72</v>
      </c>
      <c r="FT7" s="25">
        <f t="shared" si="146"/>
        <v>137</v>
      </c>
      <c r="FU7" s="47">
        <v>1</v>
      </c>
      <c r="FV7" s="25">
        <f t="shared" si="49"/>
        <v>14</v>
      </c>
      <c r="FW7" s="47">
        <v>0.5</v>
      </c>
      <c r="FX7" s="25">
        <f t="shared" si="50"/>
        <v>800</v>
      </c>
      <c r="FY7" s="2">
        <v>1</v>
      </c>
      <c r="FZ7" s="25">
        <f t="shared" si="51"/>
        <v>0</v>
      </c>
      <c r="GA7" s="33" t="str">
        <f t="shared" si="52"/>
        <v>2h 0m</v>
      </c>
      <c r="GB7" s="46">
        <v>1</v>
      </c>
      <c r="GC7" s="25">
        <f t="shared" si="53"/>
        <v>7200</v>
      </c>
      <c r="GD7" s="45">
        <v>1.5</v>
      </c>
      <c r="GE7" s="3">
        <f t="shared" si="54"/>
        <v>1200</v>
      </c>
      <c r="GF7" s="7">
        <f t="shared" si="186"/>
        <v>2</v>
      </c>
      <c r="GG7" s="3">
        <f t="shared" si="55"/>
        <v>6400</v>
      </c>
      <c r="GH7" s="6" t="str">
        <f t="shared" si="56"/>
        <v>5h 20m</v>
      </c>
      <c r="GJ7" s="8">
        <f t="shared" si="147"/>
        <v>0</v>
      </c>
      <c r="GK7" s="8">
        <v>0</v>
      </c>
      <c r="GL7" s="47">
        <v>1</v>
      </c>
      <c r="GM7" s="25">
        <f t="shared" si="57"/>
        <v>0</v>
      </c>
      <c r="GN7" s="25">
        <f t="shared" si="148"/>
        <v>0</v>
      </c>
      <c r="GO7" s="47">
        <v>1</v>
      </c>
      <c r="GP7" s="25">
        <f t="shared" si="58"/>
        <v>0</v>
      </c>
      <c r="GQ7" s="47">
        <v>1</v>
      </c>
      <c r="GR7" s="25">
        <f t="shared" si="59"/>
        <v>0</v>
      </c>
      <c r="GS7" s="2">
        <v>1</v>
      </c>
      <c r="GT7" s="25">
        <f t="shared" si="60"/>
        <v>0</v>
      </c>
      <c r="GU7" s="33" t="str">
        <f t="shared" si="61"/>
        <v>0h 0m</v>
      </c>
      <c r="GV7" s="46">
        <v>1</v>
      </c>
      <c r="GW7" s="25">
        <f t="shared" si="62"/>
        <v>0</v>
      </c>
      <c r="GX7" s="45">
        <v>3</v>
      </c>
      <c r="GY7" s="1">
        <f t="shared" si="63"/>
        <v>0</v>
      </c>
      <c r="GZ7" s="3"/>
      <c r="HA7" s="8">
        <f t="shared" si="149"/>
        <v>0</v>
      </c>
      <c r="HB7" s="5">
        <v>0</v>
      </c>
      <c r="HC7" s="47">
        <v>1</v>
      </c>
      <c r="HD7" s="25">
        <f t="shared" si="64"/>
        <v>0</v>
      </c>
      <c r="HE7" s="25">
        <f t="shared" si="150"/>
        <v>0</v>
      </c>
      <c r="HF7" s="47">
        <v>1</v>
      </c>
      <c r="HG7" s="25">
        <f t="shared" si="65"/>
        <v>0</v>
      </c>
      <c r="HH7" s="47">
        <v>0.5</v>
      </c>
      <c r="HI7" s="25">
        <f t="shared" si="66"/>
        <v>0</v>
      </c>
      <c r="HJ7" s="2">
        <v>1</v>
      </c>
      <c r="HK7" s="25">
        <f t="shared" si="67"/>
        <v>0</v>
      </c>
      <c r="HL7" s="33" t="str">
        <f t="shared" si="68"/>
        <v>0h 0m</v>
      </c>
      <c r="HM7" s="46">
        <v>1</v>
      </c>
      <c r="HN7" s="25">
        <f t="shared" si="69"/>
        <v>0</v>
      </c>
      <c r="HO7" s="42">
        <v>0</v>
      </c>
      <c r="HP7" s="3">
        <f>IF(HB7,baseBetterNumbers(HP6*HO7),HP6)</f>
        <v>0</v>
      </c>
      <c r="HQ7" s="7">
        <f t="shared" si="187"/>
        <v>2</v>
      </c>
      <c r="HR7" s="3">
        <f>IF(HB7,baseBetterNumbers(HR6*HQ7),HR6)</f>
        <v>0</v>
      </c>
      <c r="HS7" s="6" t="e">
        <f t="shared" si="70"/>
        <v>#VALUE!</v>
      </c>
      <c r="HU7" s="8">
        <f t="shared" si="151"/>
        <v>5</v>
      </c>
      <c r="HV7" s="8">
        <v>1</v>
      </c>
      <c r="HW7" s="47">
        <v>1</v>
      </c>
      <c r="HX7" s="25">
        <f t="shared" si="71"/>
        <v>72</v>
      </c>
      <c r="HY7" s="25">
        <f t="shared" si="152"/>
        <v>137</v>
      </c>
      <c r="HZ7" s="47">
        <v>2</v>
      </c>
      <c r="IA7" s="25">
        <f t="shared" si="72"/>
        <v>28</v>
      </c>
      <c r="IB7" s="47">
        <v>2.5</v>
      </c>
      <c r="IC7" s="25">
        <f t="shared" si="73"/>
        <v>4000</v>
      </c>
      <c r="ID7" s="2">
        <v>2.5</v>
      </c>
      <c r="IE7" s="25">
        <f t="shared" si="74"/>
        <v>0</v>
      </c>
      <c r="IF7" s="33" t="str">
        <f t="shared" si="75"/>
        <v>7h 0m</v>
      </c>
      <c r="IG7" s="46">
        <v>3.5</v>
      </c>
      <c r="IH7" s="25">
        <f t="shared" si="76"/>
        <v>25200</v>
      </c>
      <c r="IK7" s="8">
        <f t="shared" si="153"/>
        <v>1</v>
      </c>
      <c r="IL7" s="8">
        <v>1</v>
      </c>
      <c r="IM7" s="47">
        <v>1</v>
      </c>
      <c r="IN7" s="25">
        <f t="shared" si="77"/>
        <v>72</v>
      </c>
      <c r="IO7" s="25">
        <f t="shared" si="154"/>
        <v>72</v>
      </c>
      <c r="IP7" s="47">
        <v>3</v>
      </c>
      <c r="IQ7" s="25">
        <f t="shared" si="78"/>
        <v>42</v>
      </c>
      <c r="IR7" s="47">
        <v>10</v>
      </c>
      <c r="IS7" s="25">
        <f t="shared" si="79"/>
        <v>16000</v>
      </c>
      <c r="IT7" s="2">
        <v>2.5</v>
      </c>
      <c r="IU7" s="25">
        <f t="shared" si="80"/>
        <v>0</v>
      </c>
      <c r="IV7" s="33" t="str">
        <f t="shared" si="81"/>
        <v>8h 0m</v>
      </c>
      <c r="IW7" s="46">
        <v>4</v>
      </c>
      <c r="IX7" s="25">
        <f t="shared" si="82"/>
        <v>28800</v>
      </c>
      <c r="IY7" s="25">
        <v>3</v>
      </c>
      <c r="IZ7" s="25">
        <v>0</v>
      </c>
      <c r="JA7" s="25">
        <v>0</v>
      </c>
      <c r="JB7" s="7"/>
      <c r="JC7" s="8">
        <f t="shared" si="155"/>
        <v>0</v>
      </c>
      <c r="JD7" s="8">
        <v>0</v>
      </c>
      <c r="JE7" s="47">
        <v>1</v>
      </c>
      <c r="JF7" s="25">
        <f t="shared" si="83"/>
        <v>0</v>
      </c>
      <c r="JG7" s="25">
        <f t="shared" si="156"/>
        <v>0</v>
      </c>
      <c r="JH7" s="47">
        <v>2</v>
      </c>
      <c r="JI7" s="25">
        <f t="shared" si="84"/>
        <v>0</v>
      </c>
      <c r="JJ7" s="47">
        <v>2.5</v>
      </c>
      <c r="JK7" s="25">
        <f t="shared" si="85"/>
        <v>0</v>
      </c>
      <c r="JL7" s="2">
        <v>2.5</v>
      </c>
      <c r="JM7" s="25">
        <f t="shared" si="86"/>
        <v>0</v>
      </c>
      <c r="JN7" s="33" t="str">
        <f t="shared" si="87"/>
        <v>0h 0m</v>
      </c>
      <c r="JO7" s="46">
        <v>3.5</v>
      </c>
      <c r="JP7" s="25">
        <f t="shared" si="88"/>
        <v>0</v>
      </c>
      <c r="JQ7" s="7"/>
      <c r="JR7" s="8">
        <f t="shared" si="89"/>
        <v>1</v>
      </c>
      <c r="JS7" s="5">
        <v>0</v>
      </c>
      <c r="JT7" s="47">
        <v>1</v>
      </c>
      <c r="JU7" s="25">
        <f t="shared" si="90"/>
        <v>0</v>
      </c>
      <c r="JV7" s="25">
        <f t="shared" si="157"/>
        <v>0</v>
      </c>
      <c r="JW7" s="47">
        <v>1</v>
      </c>
      <c r="JX7" s="25">
        <f t="shared" si="91"/>
        <v>0</v>
      </c>
      <c r="JY7" s="47">
        <v>1.5</v>
      </c>
      <c r="JZ7" s="25">
        <f>IF(JS7,baseBetterNumbers(JY7*$DD7),IF(JR7-1,JZ6,0))</f>
        <v>0</v>
      </c>
      <c r="KA7" s="2">
        <v>1.5</v>
      </c>
      <c r="KB7" s="25">
        <f t="shared" si="92"/>
        <v>0</v>
      </c>
      <c r="KC7" s="33" t="str">
        <f t="shared" si="93"/>
        <v>0h 0m</v>
      </c>
      <c r="KD7" s="46">
        <v>1</v>
      </c>
      <c r="KE7" s="25">
        <f t="shared" si="94"/>
        <v>0</v>
      </c>
      <c r="KF7" s="7"/>
      <c r="KG7" s="8">
        <f t="shared" si="158"/>
        <v>5</v>
      </c>
      <c r="KH7" s="8">
        <v>1</v>
      </c>
      <c r="KI7" s="47">
        <v>1</v>
      </c>
      <c r="KJ7" s="25">
        <f t="shared" si="95"/>
        <v>72</v>
      </c>
      <c r="KK7" s="25">
        <f t="shared" si="159"/>
        <v>137</v>
      </c>
      <c r="KL7" s="47">
        <v>1</v>
      </c>
      <c r="KM7" s="25">
        <f t="shared" si="96"/>
        <v>14</v>
      </c>
      <c r="KN7" s="47">
        <v>1.5</v>
      </c>
      <c r="KO7" s="25">
        <f t="shared" si="97"/>
        <v>2400</v>
      </c>
      <c r="KP7" s="2">
        <v>1.5</v>
      </c>
      <c r="KQ7" s="25">
        <f t="shared" si="98"/>
        <v>0</v>
      </c>
      <c r="KR7" s="33" t="str">
        <f t="shared" si="99"/>
        <v>2h 0m</v>
      </c>
      <c r="KS7" s="46">
        <v>1</v>
      </c>
      <c r="KT7" s="25">
        <f t="shared" si="100"/>
        <v>7200</v>
      </c>
      <c r="KU7" s="7"/>
      <c r="KV7" s="8">
        <f t="shared" si="160"/>
        <v>0</v>
      </c>
      <c r="KW7" s="5">
        <v>0</v>
      </c>
      <c r="KX7" s="47">
        <v>1</v>
      </c>
      <c r="KY7" s="25">
        <f t="shared" si="101"/>
        <v>0</v>
      </c>
      <c r="KZ7" s="25">
        <f t="shared" si="161"/>
        <v>0</v>
      </c>
      <c r="LA7" s="47">
        <v>1</v>
      </c>
      <c r="LB7" s="25">
        <f t="shared" si="102"/>
        <v>0</v>
      </c>
      <c r="LC7" s="47">
        <v>1.5</v>
      </c>
      <c r="LD7" s="25">
        <f t="shared" si="103"/>
        <v>0</v>
      </c>
      <c r="LE7" s="2">
        <v>1.5</v>
      </c>
      <c r="LF7" s="25">
        <f t="shared" si="162"/>
        <v>0</v>
      </c>
      <c r="LG7" s="33" t="str">
        <f t="shared" si="104"/>
        <v>0h 0m</v>
      </c>
      <c r="LH7" s="46">
        <v>1</v>
      </c>
      <c r="LI7" s="25">
        <f t="shared" si="105"/>
        <v>0</v>
      </c>
      <c r="LJ7" s="7"/>
      <c r="LK7" s="8">
        <f t="shared" si="163"/>
        <v>0</v>
      </c>
      <c r="LL7" s="5">
        <v>0</v>
      </c>
      <c r="LM7" s="47">
        <v>1</v>
      </c>
      <c r="LN7" s="25">
        <f t="shared" si="106"/>
        <v>0</v>
      </c>
      <c r="LO7" s="25">
        <f t="shared" si="164"/>
        <v>0</v>
      </c>
      <c r="LP7" s="47">
        <v>1</v>
      </c>
      <c r="LQ7" s="25">
        <f t="shared" si="107"/>
        <v>0</v>
      </c>
      <c r="LR7" s="47">
        <v>1.5</v>
      </c>
      <c r="LS7" s="25">
        <f t="shared" si="108"/>
        <v>0</v>
      </c>
      <c r="LT7" s="2">
        <v>1.5</v>
      </c>
      <c r="LU7" s="25">
        <f t="shared" si="165"/>
        <v>0</v>
      </c>
      <c r="LV7" s="33" t="str">
        <f t="shared" si="109"/>
        <v>0h 0m</v>
      </c>
      <c r="LW7" s="46">
        <v>1</v>
      </c>
      <c r="LX7" s="25">
        <f t="shared" si="110"/>
        <v>0</v>
      </c>
      <c r="LY7" s="7"/>
      <c r="LZ7" s="8">
        <f t="shared" si="166"/>
        <v>0</v>
      </c>
      <c r="MA7" s="5">
        <v>0</v>
      </c>
      <c r="MB7" s="47">
        <v>1</v>
      </c>
      <c r="MC7" s="25">
        <f t="shared" si="111"/>
        <v>0</v>
      </c>
      <c r="MD7" s="25">
        <f t="shared" si="167"/>
        <v>0</v>
      </c>
      <c r="ME7" s="47">
        <v>1</v>
      </c>
      <c r="MF7" s="25">
        <f t="shared" si="112"/>
        <v>0</v>
      </c>
      <c r="MG7" s="47">
        <v>1.5</v>
      </c>
      <c r="MH7" s="25">
        <f t="shared" si="113"/>
        <v>0</v>
      </c>
      <c r="MI7" s="2">
        <v>1.5</v>
      </c>
      <c r="MJ7" s="25">
        <f t="shared" si="168"/>
        <v>0</v>
      </c>
      <c r="MK7" s="33" t="str">
        <f t="shared" si="114"/>
        <v>0h 0m</v>
      </c>
      <c r="ML7" s="46">
        <v>1</v>
      </c>
      <c r="MM7" s="25">
        <f t="shared" si="115"/>
        <v>0</v>
      </c>
      <c r="MN7" s="7"/>
      <c r="MO7" s="8">
        <f t="shared" si="169"/>
        <v>3</v>
      </c>
      <c r="MP7" s="5">
        <v>1</v>
      </c>
      <c r="MQ7" s="47">
        <v>1</v>
      </c>
      <c r="MR7" s="25">
        <f t="shared" si="116"/>
        <v>72</v>
      </c>
      <c r="MS7" s="25">
        <f t="shared" si="170"/>
        <v>126</v>
      </c>
      <c r="MT7" s="47">
        <v>1.5</v>
      </c>
      <c r="MU7" s="25">
        <f t="shared" si="117"/>
        <v>21</v>
      </c>
      <c r="MV7" s="47">
        <v>4</v>
      </c>
      <c r="MW7" s="25">
        <f t="shared" si="118"/>
        <v>6400</v>
      </c>
      <c r="MX7" s="2">
        <v>1.5</v>
      </c>
      <c r="MY7" s="25">
        <f t="shared" si="171"/>
        <v>0</v>
      </c>
      <c r="MZ7" s="33" t="str">
        <f t="shared" si="119"/>
        <v>2h 0m</v>
      </c>
      <c r="NA7" s="46">
        <v>1</v>
      </c>
      <c r="NB7" s="25">
        <f t="shared" si="120"/>
        <v>7200</v>
      </c>
      <c r="NC7" s="7"/>
      <c r="ND7" s="8">
        <f t="shared" si="172"/>
        <v>4</v>
      </c>
      <c r="NE7" s="5">
        <v>1</v>
      </c>
      <c r="NF7" s="47">
        <v>1</v>
      </c>
      <c r="NG7" s="25">
        <f t="shared" si="121"/>
        <v>72</v>
      </c>
      <c r="NH7" s="25">
        <f t="shared" si="173"/>
        <v>135</v>
      </c>
      <c r="NI7" s="47">
        <v>4</v>
      </c>
      <c r="NJ7" s="25">
        <f>IF(NE7,baseBetterNumbers(NI7*$DD7),IF(ND7,NJ6,0))</f>
        <v>6400</v>
      </c>
      <c r="NK7" s="2">
        <v>1.5</v>
      </c>
      <c r="NL7" s="25">
        <f>IF(NE7,baseBetterNumbers(NK7*$DG7),IF(ND7-1,NL6,0))</f>
        <v>0</v>
      </c>
      <c r="NM7" s="33" t="str">
        <f t="shared" si="122"/>
        <v>2h 0m</v>
      </c>
      <c r="NN7" s="46">
        <v>1</v>
      </c>
      <c r="NO7" s="25">
        <f>IF(NE7,baseBetterNumbers(NN7*$DK7),IF(ND7,NO6,0))</f>
        <v>7200</v>
      </c>
      <c r="NP7" s="47">
        <v>2</v>
      </c>
      <c r="NQ7" s="25">
        <f t="shared" si="188"/>
        <v>320</v>
      </c>
      <c r="NR7" s="1">
        <f t="shared" si="123"/>
        <v>640</v>
      </c>
      <c r="NS7" s="1" t="e">
        <f>G7+AJ7*DT7+AL7*EK7+AN7*FE7+AP7*FV7+AR7*GP7+AT7*HG7+AV7*IA7+AX7*IQ7+AZ7*JI7+BD7*KM7+BF7*LB7+BH7*LQ7+BJ7*MF7+BL7*MU7+BR7*OA7+BT7*OP7+BV7*#REF!+BX7*#REF!+BZ7*PU7+#REF!*#REF!+#REF!*#REF!</f>
        <v>#REF!</v>
      </c>
      <c r="NU7" s="8">
        <f t="shared" si="174"/>
        <v>2</v>
      </c>
      <c r="NV7" s="5">
        <v>1</v>
      </c>
      <c r="NW7" s="47">
        <v>1</v>
      </c>
      <c r="NX7" s="25">
        <f t="shared" si="124"/>
        <v>72</v>
      </c>
      <c r="NY7" s="25">
        <f t="shared" si="175"/>
        <v>108</v>
      </c>
      <c r="NZ7" s="47">
        <v>2</v>
      </c>
      <c r="OA7" s="25">
        <f t="shared" si="125"/>
        <v>28</v>
      </c>
      <c r="OB7" s="47">
        <v>10</v>
      </c>
      <c r="OC7" s="25">
        <f t="shared" si="126"/>
        <v>16000</v>
      </c>
      <c r="OD7" s="2">
        <v>1.5</v>
      </c>
      <c r="OE7" s="25">
        <f t="shared" si="176"/>
        <v>0</v>
      </c>
      <c r="OF7" s="33" t="str">
        <f t="shared" si="127"/>
        <v>6h 0m</v>
      </c>
      <c r="OG7" s="46">
        <v>3</v>
      </c>
      <c r="OH7" s="25">
        <f t="shared" si="128"/>
        <v>21600</v>
      </c>
      <c r="OI7" s="7"/>
      <c r="OJ7" s="8">
        <f t="shared" si="177"/>
        <v>2</v>
      </c>
      <c r="OK7" s="5">
        <v>1</v>
      </c>
      <c r="OL7" s="47">
        <v>1</v>
      </c>
      <c r="OM7" s="25">
        <f t="shared" si="129"/>
        <v>72</v>
      </c>
      <c r="ON7" s="25">
        <f t="shared" si="178"/>
        <v>108</v>
      </c>
      <c r="OO7" s="47">
        <v>2</v>
      </c>
      <c r="OP7" s="25">
        <f t="shared" si="130"/>
        <v>28</v>
      </c>
      <c r="OQ7" s="47">
        <v>12</v>
      </c>
      <c r="OR7" s="25">
        <f t="shared" si="131"/>
        <v>19200</v>
      </c>
      <c r="OS7" s="2">
        <v>1.5</v>
      </c>
      <c r="OT7" s="25">
        <f t="shared" si="179"/>
        <v>0</v>
      </c>
      <c r="OU7" s="33" t="str">
        <f t="shared" si="132"/>
        <v>10h 0m</v>
      </c>
      <c r="OV7" s="46">
        <v>5</v>
      </c>
      <c r="OW7" s="25">
        <f t="shared" si="133"/>
        <v>36000</v>
      </c>
      <c r="OX7" s="82">
        <f>OX6-0.05</f>
        <v>0.7</v>
      </c>
      <c r="OY7" s="82">
        <v>0.5</v>
      </c>
      <c r="OZ7" s="78" t="str">
        <f t="shared" ref="OZ7:OZ17" si="191">secToTime(PA7)</f>
        <v>5h 0m</v>
      </c>
      <c r="PA7" s="25">
        <v>18000</v>
      </c>
      <c r="PB7" s="47">
        <v>2</v>
      </c>
      <c r="PC7" s="25">
        <f>baseBetterNumbers(DD7*PB7)</f>
        <v>3200</v>
      </c>
      <c r="PD7" s="82">
        <f>PD6+0.05</f>
        <v>0.55000000000000004</v>
      </c>
      <c r="PE7" s="82">
        <v>0</v>
      </c>
      <c r="PF7" s="25">
        <v>0</v>
      </c>
      <c r="PG7" s="78" t="str">
        <f t="shared" ref="PG7:PG17" si="192">secToTime(PH7)</f>
        <v>20h 0m</v>
      </c>
      <c r="PH7" s="25">
        <f t="shared" ref="PH7:PH17" si="193">PA7*4</f>
        <v>72000</v>
      </c>
      <c r="PI7" s="47">
        <v>10</v>
      </c>
      <c r="PJ7" s="25">
        <f>baseBetterNumbers(DD7*PI7)</f>
        <v>16000</v>
      </c>
      <c r="PK7" s="82">
        <v>1</v>
      </c>
      <c r="PL7" s="82">
        <f>PL6+0.05</f>
        <v>0.3</v>
      </c>
      <c r="PM7" s="82">
        <v>0</v>
      </c>
      <c r="PN7" s="25"/>
      <c r="PO7" s="8">
        <v>0</v>
      </c>
      <c r="PP7" s="8">
        <v>0</v>
      </c>
      <c r="PQ7" s="8"/>
      <c r="PR7" s="25">
        <f>IF(PP7,cio2StepsChangesX(PR6,BZ7,Conf!BM$40,Conf!BM$41,Conf!BN$39,Conf!BN$40,Conf!BN$41),PR6)</f>
        <v>0</v>
      </c>
      <c r="PS7" s="25">
        <f t="shared" si="180"/>
        <v>0</v>
      </c>
      <c r="PT7" s="25"/>
      <c r="PU7" s="3">
        <f>IF(PP7,cio2StepsChangesX(PU6,PO7,Conf!BM$46,Conf!BM$47,Conf!BN$45,Conf!BN$46,Conf!BN$47),PU6)</f>
        <v>0</v>
      </c>
      <c r="PV7" s="3"/>
      <c r="PW7" s="3">
        <f>IF(PP7,cio2StepsChangesX(PW6,PO7,Conf!BY$18,Conf!BY$19,Conf!BZ$17,Conf!BZ$18,Conf!BZ$19),PW6)</f>
        <v>0</v>
      </c>
      <c r="PX7" s="20"/>
      <c r="PY7" s="3">
        <f>IF(PP7,cioCFTiPrice(PY6,PO7),PY6)</f>
        <v>0</v>
      </c>
      <c r="PZ7" s="33" t="str">
        <f t="shared" si="189"/>
        <v>0h 0m</v>
      </c>
      <c r="QA7" s="33"/>
      <c r="QB7" s="7">
        <f>cioUpTime(Conf!E$57,A7,PW7)</f>
        <v>0</v>
      </c>
    </row>
    <row r="8" spans="1:444">
      <c r="A8" s="23">
        <f t="shared" si="134"/>
        <v>6</v>
      </c>
      <c r="B8" s="5">
        <v>1</v>
      </c>
      <c r="C8" s="47">
        <v>0</v>
      </c>
      <c r="D8" s="25">
        <f>IF(B8,baseBetterNumbers(C8*$CY8),IF(A8-1,D7,0))</f>
        <v>0</v>
      </c>
      <c r="E8" s="25">
        <f t="shared" si="135"/>
        <v>0</v>
      </c>
      <c r="F8" s="47">
        <v>1</v>
      </c>
      <c r="G8" s="25">
        <f>IF(B8,baseBetterNumbers(F8*$DB8),IF(A8-1,G7,0))</f>
        <v>21</v>
      </c>
      <c r="H8" s="47">
        <v>4</v>
      </c>
      <c r="I8" s="25">
        <f>IF(B8,baseBetterNumbers(H8*$DD8),IF(A8-1,I7,0))</f>
        <v>12800</v>
      </c>
      <c r="J8" s="2">
        <v>3</v>
      </c>
      <c r="K8" s="25">
        <f>IF(B8,baseBetterNumbers(J8*$DG8),IF(A8-1,K7,0))</f>
        <v>0</v>
      </c>
      <c r="L8" s="33" t="str">
        <f t="shared" si="11"/>
        <v>4h 0m</v>
      </c>
      <c r="M8" s="46">
        <v>1</v>
      </c>
      <c r="N8" s="25">
        <f>IF(B8,baseBetterNumbers(M8*$DK8),IF(A8-1,N7,0))</f>
        <v>14400</v>
      </c>
      <c r="O8" s="7">
        <f t="shared" si="136"/>
        <v>0.8</v>
      </c>
      <c r="P8" s="3">
        <f>baseBetterNumbers(O8*EC8)</f>
        <v>30700</v>
      </c>
      <c r="Q8" s="3">
        <f>baseBetterNumbers(O8*FN8)</f>
        <v>30700</v>
      </c>
      <c r="R8" s="3">
        <f>baseBetterNumbers(O8*GY8)</f>
        <v>0</v>
      </c>
      <c r="S8" s="3">
        <v>40</v>
      </c>
      <c r="T8" s="38">
        <v>3.5000000000000001E-3</v>
      </c>
      <c r="U8" s="38">
        <v>2.9999999999999997E-4</v>
      </c>
      <c r="V8" s="38">
        <v>2.9999999999999997E-4</v>
      </c>
      <c r="W8" s="38">
        <v>2.9999999999999997E-4</v>
      </c>
      <c r="X8" s="3">
        <v>1</v>
      </c>
      <c r="Y8" s="3"/>
      <c r="Z8" s="3"/>
      <c r="AA8" s="3"/>
      <c r="AB8" s="3"/>
      <c r="AC8" s="3"/>
      <c r="AD8" s="3" t="e">
        <f>-AC8+E8+AJ8*DR8+AL8*EI8+AN8*FC8+AP8*FT8+AR8*GN8+AT8*HE8+AV8*HY8+AX8*IO8+AZ8*JG8+BD8*KK8+BF8*KZ8+BH8*LO8+BJ8*MD8+BL8*MS8+BP8*NH8+BR8*NY8+BT8*ON8+BV8*#REF!+BX8*#REF!+BZ8*PS8+#REF!*#REF!+#REF!*#REF!</f>
        <v>#REF!</v>
      </c>
      <c r="AE8" s="3" t="e">
        <f t="shared" si="137"/>
        <v>#REF!</v>
      </c>
      <c r="AF8" s="3"/>
      <c r="AG8" s="3" t="e">
        <f>SUM(AI3:AI8)</f>
        <v>#REF!</v>
      </c>
      <c r="AH8" s="3">
        <f t="shared" si="12"/>
        <v>4</v>
      </c>
      <c r="AI8" s="3" t="e">
        <f>AK8+AM8+AO8+AQ8+AS8+AU8+AW8+AY8+BA8+BE8+BG8+BI8+BK8+BM8+BO8+BQ8+BS8+BU8+BW8+BY8+CA8+#REF!+#REF!</f>
        <v>#REF!</v>
      </c>
      <c r="AJ8" s="3">
        <f>SUM(AK3:AK8)</f>
        <v>2</v>
      </c>
      <c r="AK8" s="3">
        <v>1</v>
      </c>
      <c r="AL8" s="3">
        <f>SUM(AM3:AM8)</f>
        <v>3</v>
      </c>
      <c r="AM8" s="3"/>
      <c r="AN8" s="3">
        <f>SUM(AO3:AO8)</f>
        <v>2</v>
      </c>
      <c r="AO8" s="3">
        <v>1</v>
      </c>
      <c r="AP8" s="3">
        <f>SUM(AQ3:AQ8)</f>
        <v>3</v>
      </c>
      <c r="AQ8" s="3"/>
      <c r="AR8" s="3">
        <f>SUM(AS3:AS8)</f>
        <v>0</v>
      </c>
      <c r="AS8" s="3"/>
      <c r="AT8" s="3">
        <f>SUM(AU3:AU8)</f>
        <v>0</v>
      </c>
      <c r="AU8" s="3"/>
      <c r="AV8" s="3">
        <f>SUM(AW3:AW8)</f>
        <v>3</v>
      </c>
      <c r="AW8" s="3"/>
      <c r="AX8" s="3">
        <f>SUM(AY3:AY8)</f>
        <v>1</v>
      </c>
      <c r="AY8" s="3"/>
      <c r="AZ8" s="3">
        <f>SUM(BA3:BA8)</f>
        <v>1</v>
      </c>
      <c r="BA8" s="24">
        <v>1</v>
      </c>
      <c r="BB8" s="3">
        <f>SUM(BC3:BC8)</f>
        <v>10</v>
      </c>
      <c r="BC8" s="3">
        <v>2</v>
      </c>
      <c r="BD8" s="3">
        <f>SUM(BE3:BE8)</f>
        <v>4</v>
      </c>
      <c r="BE8" s="3">
        <v>1</v>
      </c>
      <c r="BF8" s="3">
        <f>SUM(BG3:BG8)</f>
        <v>0</v>
      </c>
      <c r="BG8" s="3"/>
      <c r="BH8" s="3">
        <f>SUM(BI3:BI8)</f>
        <v>0</v>
      </c>
      <c r="BI8" s="3"/>
      <c r="BJ8" s="3">
        <f>SUM(BK3:BK8)</f>
        <v>0</v>
      </c>
      <c r="BK8" s="3"/>
      <c r="BL8" s="3">
        <f>SUM(BM3:BM8)</f>
        <v>2</v>
      </c>
      <c r="BM8" s="3"/>
      <c r="BN8" s="3">
        <f>SUM(BO3:BO8)</f>
        <v>1</v>
      </c>
      <c r="BO8" s="3"/>
      <c r="BP8" s="3">
        <f>SUM(BQ3:BQ8)</f>
        <v>2</v>
      </c>
      <c r="BQ8" s="3"/>
      <c r="BR8" s="3">
        <f>SUM(BS3:BS8)</f>
        <v>1</v>
      </c>
      <c r="BS8" s="3"/>
      <c r="BT8" s="3">
        <f>SUM(BU3:BU8)</f>
        <v>1</v>
      </c>
      <c r="BU8" s="3"/>
      <c r="BV8" s="3">
        <f>SUM(BW3:BW8)</f>
        <v>1</v>
      </c>
      <c r="BW8" s="24">
        <v>1</v>
      </c>
      <c r="BX8" s="3">
        <f>SUM(BY3:BY8)</f>
        <v>0</v>
      </c>
      <c r="BY8" s="3"/>
      <c r="BZ8" s="3">
        <f>SUM(CA3:CA8)</f>
        <v>0</v>
      </c>
      <c r="CA8" s="3"/>
      <c r="CC8" s="1">
        <f t="shared" si="0"/>
        <v>5400</v>
      </c>
      <c r="CD8" s="1">
        <f t="shared" si="1"/>
        <v>107500</v>
      </c>
      <c r="CE8" s="1">
        <f t="shared" si="2"/>
        <v>38400</v>
      </c>
      <c r="CF8" s="12">
        <f t="shared" si="3"/>
        <v>7.1111111111111107</v>
      </c>
      <c r="CG8" s="12">
        <f t="shared" si="13"/>
        <v>2.7994791666666665</v>
      </c>
      <c r="CI8" s="1">
        <f t="shared" si="4"/>
        <v>5400</v>
      </c>
      <c r="CJ8" s="1">
        <f t="shared" si="5"/>
        <v>107500</v>
      </c>
      <c r="CK8" s="1">
        <f t="shared" si="6"/>
        <v>38400</v>
      </c>
      <c r="CL8" s="12">
        <f t="shared" si="14"/>
        <v>7.1111111111111107</v>
      </c>
      <c r="CM8" s="12">
        <f t="shared" si="15"/>
        <v>2.7994791666666665</v>
      </c>
      <c r="CO8" s="1">
        <f t="shared" si="7"/>
        <v>0</v>
      </c>
      <c r="CP8" s="1">
        <f t="shared" si="8"/>
        <v>0</v>
      </c>
      <c r="CQ8" s="1">
        <f t="shared" si="9"/>
        <v>0</v>
      </c>
      <c r="CR8" s="12">
        <f t="shared" si="16"/>
        <v>0</v>
      </c>
      <c r="CS8" s="12">
        <f t="shared" si="17"/>
        <v>0</v>
      </c>
      <c r="CV8" s="8">
        <f t="shared" si="18"/>
        <v>6</v>
      </c>
      <c r="CW8" s="5">
        <v>1</v>
      </c>
      <c r="CX8" s="45">
        <v>0.5</v>
      </c>
      <c r="CY8" s="25">
        <f t="shared" si="10"/>
        <v>72</v>
      </c>
      <c r="CZ8" s="25">
        <f t="shared" si="19"/>
        <v>209</v>
      </c>
      <c r="DA8" s="47">
        <f t="shared" si="181"/>
        <v>1.5</v>
      </c>
      <c r="DB8" s="3">
        <f t="shared" si="20"/>
        <v>21</v>
      </c>
      <c r="DC8" s="3">
        <f t="shared" si="182"/>
        <v>2</v>
      </c>
      <c r="DD8" s="3">
        <f t="shared" si="21"/>
        <v>3200</v>
      </c>
      <c r="DE8" s="20">
        <f t="shared" si="22"/>
        <v>2.9767441860465118E-2</v>
      </c>
      <c r="DF8" s="2"/>
      <c r="DG8" s="3">
        <f>IF(CW8,cioCFTiPrice(DG7,CV8),DG7)</f>
        <v>0</v>
      </c>
      <c r="DH8" s="20">
        <v>0</v>
      </c>
      <c r="DI8" s="33" t="str">
        <f t="shared" si="23"/>
        <v>4h 0m</v>
      </c>
      <c r="DJ8" s="46">
        <f t="shared" si="190"/>
        <v>2</v>
      </c>
      <c r="DK8" s="28">
        <f t="shared" si="24"/>
        <v>14400</v>
      </c>
      <c r="DN8" s="8">
        <f t="shared" si="139"/>
        <v>6</v>
      </c>
      <c r="DO8" s="5">
        <v>1</v>
      </c>
      <c r="DP8" s="47">
        <v>1</v>
      </c>
      <c r="DQ8" s="25">
        <f t="shared" si="25"/>
        <v>72</v>
      </c>
      <c r="DR8" s="25">
        <f t="shared" si="140"/>
        <v>209</v>
      </c>
      <c r="DS8" s="47">
        <v>1</v>
      </c>
      <c r="DT8" s="25">
        <f t="shared" si="26"/>
        <v>21</v>
      </c>
      <c r="DU8" s="47">
        <v>1</v>
      </c>
      <c r="DV8" s="25">
        <f t="shared" si="27"/>
        <v>3200</v>
      </c>
      <c r="DW8" s="2">
        <v>1</v>
      </c>
      <c r="DX8" s="25">
        <f t="shared" si="28"/>
        <v>0</v>
      </c>
      <c r="DY8" s="33" t="str">
        <f t="shared" si="29"/>
        <v>4h 0m</v>
      </c>
      <c r="DZ8" s="46">
        <v>1</v>
      </c>
      <c r="EA8" s="25">
        <f t="shared" si="30"/>
        <v>14400</v>
      </c>
      <c r="EB8" s="45">
        <v>3</v>
      </c>
      <c r="EC8" s="1">
        <f t="shared" si="31"/>
        <v>38400</v>
      </c>
      <c r="ED8" s="3"/>
      <c r="EE8" s="8">
        <f t="shared" si="141"/>
        <v>6</v>
      </c>
      <c r="EF8" s="5">
        <v>1</v>
      </c>
      <c r="EG8" s="47">
        <v>1</v>
      </c>
      <c r="EH8" s="25">
        <f t="shared" si="32"/>
        <v>72</v>
      </c>
      <c r="EI8" s="25">
        <f t="shared" si="142"/>
        <v>209</v>
      </c>
      <c r="EJ8" s="47">
        <v>1</v>
      </c>
      <c r="EK8" s="25">
        <f t="shared" si="33"/>
        <v>21</v>
      </c>
      <c r="EL8" s="47">
        <v>0.5</v>
      </c>
      <c r="EM8" s="25">
        <f t="shared" si="34"/>
        <v>1600</v>
      </c>
      <c r="EN8" s="2">
        <v>1</v>
      </c>
      <c r="EO8" s="25">
        <f t="shared" si="35"/>
        <v>0</v>
      </c>
      <c r="EP8" s="33" t="str">
        <f t="shared" si="36"/>
        <v>4h 0m</v>
      </c>
      <c r="EQ8" s="46">
        <v>1</v>
      </c>
      <c r="ER8" s="25">
        <f t="shared" si="37"/>
        <v>14400</v>
      </c>
      <c r="ES8" s="45">
        <f t="shared" si="183"/>
        <v>1.5</v>
      </c>
      <c r="ET8" s="3">
        <f t="shared" si="38"/>
        <v>1800</v>
      </c>
      <c r="EU8" s="7">
        <f t="shared" si="184"/>
        <v>2</v>
      </c>
      <c r="EV8" s="3">
        <f t="shared" si="39"/>
        <v>12800</v>
      </c>
      <c r="EW8" s="6" t="str">
        <f t="shared" si="40"/>
        <v>7h 6m</v>
      </c>
      <c r="EY8" s="8">
        <f t="shared" si="143"/>
        <v>6</v>
      </c>
      <c r="EZ8" s="5">
        <v>1</v>
      </c>
      <c r="FA8" s="47">
        <v>1</v>
      </c>
      <c r="FB8" s="25">
        <f t="shared" si="41"/>
        <v>72</v>
      </c>
      <c r="FC8" s="25">
        <f t="shared" si="144"/>
        <v>209</v>
      </c>
      <c r="FD8" s="47">
        <v>1</v>
      </c>
      <c r="FE8" s="25">
        <f t="shared" si="42"/>
        <v>21</v>
      </c>
      <c r="FF8" s="47">
        <v>1</v>
      </c>
      <c r="FG8" s="25">
        <f t="shared" si="43"/>
        <v>3200</v>
      </c>
      <c r="FH8" s="2">
        <v>1</v>
      </c>
      <c r="FI8" s="25">
        <f t="shared" si="44"/>
        <v>0</v>
      </c>
      <c r="FJ8" s="33" t="str">
        <f t="shared" si="45"/>
        <v>4h 0m</v>
      </c>
      <c r="FK8" s="46">
        <v>1</v>
      </c>
      <c r="FL8" s="25">
        <f t="shared" si="46"/>
        <v>14400</v>
      </c>
      <c r="FM8" s="45">
        <v>3</v>
      </c>
      <c r="FN8" s="1">
        <f t="shared" si="47"/>
        <v>38400</v>
      </c>
      <c r="FO8" s="3"/>
      <c r="FP8" s="8">
        <f t="shared" si="145"/>
        <v>6</v>
      </c>
      <c r="FQ8" s="5">
        <v>1</v>
      </c>
      <c r="FR8" s="47">
        <v>1</v>
      </c>
      <c r="FS8" s="25">
        <f t="shared" si="48"/>
        <v>72</v>
      </c>
      <c r="FT8" s="25">
        <f t="shared" si="146"/>
        <v>209</v>
      </c>
      <c r="FU8" s="47">
        <v>1</v>
      </c>
      <c r="FV8" s="25">
        <f t="shared" si="49"/>
        <v>21</v>
      </c>
      <c r="FW8" s="47">
        <v>0.5</v>
      </c>
      <c r="FX8" s="25">
        <f t="shared" si="50"/>
        <v>1600</v>
      </c>
      <c r="FY8" s="2">
        <v>1</v>
      </c>
      <c r="FZ8" s="25">
        <f t="shared" si="51"/>
        <v>0</v>
      </c>
      <c r="GA8" s="33" t="str">
        <f t="shared" si="52"/>
        <v>4h 0m</v>
      </c>
      <c r="GB8" s="46">
        <v>1</v>
      </c>
      <c r="GC8" s="25">
        <f t="shared" si="53"/>
        <v>14400</v>
      </c>
      <c r="GD8" s="45">
        <f t="shared" si="185"/>
        <v>1.5</v>
      </c>
      <c r="GE8" s="3">
        <f t="shared" si="54"/>
        <v>1800</v>
      </c>
      <c r="GF8" s="7">
        <f t="shared" si="186"/>
        <v>2</v>
      </c>
      <c r="GG8" s="3">
        <f t="shared" si="55"/>
        <v>12800</v>
      </c>
      <c r="GH8" s="6" t="str">
        <f t="shared" si="56"/>
        <v>7h 6m</v>
      </c>
      <c r="GJ8" s="8">
        <f t="shared" si="147"/>
        <v>0</v>
      </c>
      <c r="GK8" s="5">
        <v>0</v>
      </c>
      <c r="GL8" s="47">
        <v>1</v>
      </c>
      <c r="GM8" s="25">
        <f t="shared" si="57"/>
        <v>0</v>
      </c>
      <c r="GN8" s="25">
        <f t="shared" si="148"/>
        <v>0</v>
      </c>
      <c r="GO8" s="47">
        <v>1</v>
      </c>
      <c r="GP8" s="25">
        <f t="shared" si="58"/>
        <v>0</v>
      </c>
      <c r="GQ8" s="47">
        <v>1</v>
      </c>
      <c r="GR8" s="25">
        <f t="shared" si="59"/>
        <v>0</v>
      </c>
      <c r="GS8" s="2">
        <v>1</v>
      </c>
      <c r="GT8" s="25">
        <f t="shared" si="60"/>
        <v>0</v>
      </c>
      <c r="GU8" s="33" t="str">
        <f t="shared" si="61"/>
        <v>0h 0m</v>
      </c>
      <c r="GV8" s="46">
        <v>1</v>
      </c>
      <c r="GW8" s="25">
        <f t="shared" si="62"/>
        <v>0</v>
      </c>
      <c r="GX8" s="45">
        <v>3</v>
      </c>
      <c r="GY8" s="1">
        <f t="shared" si="63"/>
        <v>0</v>
      </c>
      <c r="GZ8" s="3"/>
      <c r="HA8" s="8">
        <f t="shared" si="149"/>
        <v>0</v>
      </c>
      <c r="HB8" s="5">
        <v>0</v>
      </c>
      <c r="HC8" s="47">
        <v>1</v>
      </c>
      <c r="HD8" s="25">
        <f t="shared" si="64"/>
        <v>0</v>
      </c>
      <c r="HE8" s="25">
        <f t="shared" si="150"/>
        <v>0</v>
      </c>
      <c r="HF8" s="47">
        <v>1</v>
      </c>
      <c r="HG8" s="25">
        <f t="shared" si="65"/>
        <v>0</v>
      </c>
      <c r="HH8" s="47">
        <v>0.5</v>
      </c>
      <c r="HI8" s="25">
        <f t="shared" si="66"/>
        <v>0</v>
      </c>
      <c r="HJ8" s="2">
        <v>1</v>
      </c>
      <c r="HK8" s="25">
        <f t="shared" si="67"/>
        <v>0</v>
      </c>
      <c r="HL8" s="33" t="str">
        <f t="shared" si="68"/>
        <v>0h 0m</v>
      </c>
      <c r="HM8" s="46">
        <v>1</v>
      </c>
      <c r="HN8" s="25">
        <f t="shared" si="69"/>
        <v>0</v>
      </c>
      <c r="HO8" s="42">
        <v>0</v>
      </c>
      <c r="HP8" s="3">
        <f>IF(HB8,baseBetterNumbers(HP7*HO8),HP7)</f>
        <v>0</v>
      </c>
      <c r="HQ8" s="7">
        <f t="shared" si="187"/>
        <v>2</v>
      </c>
      <c r="HR8" s="3">
        <f>IF(HB8,baseBetterNumbers(HR7*HQ8),HR7)</f>
        <v>0</v>
      </c>
      <c r="HS8" s="6" t="e">
        <f t="shared" si="70"/>
        <v>#VALUE!</v>
      </c>
      <c r="HU8" s="8">
        <f t="shared" si="151"/>
        <v>6</v>
      </c>
      <c r="HV8" s="5">
        <v>1</v>
      </c>
      <c r="HW8" s="47">
        <v>1</v>
      </c>
      <c r="HX8" s="25">
        <f t="shared" si="71"/>
        <v>72</v>
      </c>
      <c r="HY8" s="25">
        <f t="shared" si="152"/>
        <v>209</v>
      </c>
      <c r="HZ8" s="47">
        <v>2</v>
      </c>
      <c r="IA8" s="25">
        <f t="shared" si="72"/>
        <v>42</v>
      </c>
      <c r="IB8" s="47">
        <v>2.5</v>
      </c>
      <c r="IC8" s="25">
        <f t="shared" si="73"/>
        <v>8000</v>
      </c>
      <c r="ID8" s="2">
        <v>2.5</v>
      </c>
      <c r="IE8" s="25">
        <f t="shared" si="74"/>
        <v>0</v>
      </c>
      <c r="IF8" s="33" t="str">
        <f t="shared" si="75"/>
        <v>14h 0m</v>
      </c>
      <c r="IG8" s="46">
        <v>3.5</v>
      </c>
      <c r="IH8" s="25">
        <f t="shared" si="76"/>
        <v>50400</v>
      </c>
      <c r="IK8" s="8">
        <f t="shared" si="153"/>
        <v>2</v>
      </c>
      <c r="IL8" s="5">
        <v>1</v>
      </c>
      <c r="IM8" s="47">
        <v>1</v>
      </c>
      <c r="IN8" s="25">
        <f t="shared" si="77"/>
        <v>72</v>
      </c>
      <c r="IO8" s="25">
        <f t="shared" si="154"/>
        <v>144</v>
      </c>
      <c r="IP8" s="47">
        <v>3</v>
      </c>
      <c r="IQ8" s="25">
        <f t="shared" si="78"/>
        <v>63</v>
      </c>
      <c r="IR8" s="47">
        <v>8</v>
      </c>
      <c r="IS8" s="25">
        <f t="shared" si="79"/>
        <v>25600</v>
      </c>
      <c r="IT8" s="2">
        <v>2.5</v>
      </c>
      <c r="IU8" s="25">
        <f t="shared" si="80"/>
        <v>0</v>
      </c>
      <c r="IV8" s="33" t="str">
        <f t="shared" si="81"/>
        <v>16h 0m</v>
      </c>
      <c r="IW8" s="46">
        <v>4</v>
      </c>
      <c r="IX8" s="25">
        <f t="shared" si="82"/>
        <v>57600</v>
      </c>
      <c r="IY8" s="25">
        <v>5</v>
      </c>
      <c r="IZ8" s="25">
        <v>0</v>
      </c>
      <c r="JA8" s="25">
        <v>0</v>
      </c>
      <c r="JB8" s="7"/>
      <c r="JC8" s="8">
        <f t="shared" si="155"/>
        <v>1</v>
      </c>
      <c r="JD8" s="5">
        <v>1</v>
      </c>
      <c r="JE8" s="47">
        <v>1</v>
      </c>
      <c r="JF8" s="25">
        <f t="shared" si="83"/>
        <v>72</v>
      </c>
      <c r="JG8" s="25">
        <f t="shared" si="156"/>
        <v>72</v>
      </c>
      <c r="JH8" s="47">
        <v>0.5</v>
      </c>
      <c r="JI8" s="25">
        <f t="shared" si="84"/>
        <v>10</v>
      </c>
      <c r="JJ8" s="47">
        <v>2.5</v>
      </c>
      <c r="JK8" s="25">
        <f t="shared" si="85"/>
        <v>8000</v>
      </c>
      <c r="JL8" s="2">
        <v>2.5</v>
      </c>
      <c r="JM8" s="25">
        <f t="shared" si="86"/>
        <v>0</v>
      </c>
      <c r="JN8" s="33" t="str">
        <f t="shared" si="87"/>
        <v>6h 0m</v>
      </c>
      <c r="JO8" s="46">
        <v>1.5</v>
      </c>
      <c r="JP8" s="25">
        <f t="shared" si="88"/>
        <v>21600</v>
      </c>
      <c r="JQ8" s="7"/>
      <c r="JR8" s="8">
        <f t="shared" si="89"/>
        <v>1</v>
      </c>
      <c r="JS8" s="5">
        <v>0</v>
      </c>
      <c r="JT8" s="47">
        <v>1</v>
      </c>
      <c r="JU8" s="25">
        <f t="shared" si="90"/>
        <v>0</v>
      </c>
      <c r="JV8" s="25">
        <f t="shared" si="157"/>
        <v>0</v>
      </c>
      <c r="JW8" s="47">
        <v>1</v>
      </c>
      <c r="JX8" s="25">
        <f t="shared" si="91"/>
        <v>0</v>
      </c>
      <c r="JY8" s="47">
        <v>1.5</v>
      </c>
      <c r="JZ8" s="25">
        <f>IF(JS8,baseBetterNumbers(JY8*$DD8),IF(JR8-1,JZ7,0))</f>
        <v>0</v>
      </c>
      <c r="KA8" s="2">
        <v>1.5</v>
      </c>
      <c r="KB8" s="25">
        <f t="shared" si="92"/>
        <v>0</v>
      </c>
      <c r="KC8" s="33" t="str">
        <f t="shared" si="93"/>
        <v>0h 0m</v>
      </c>
      <c r="KD8" s="46">
        <v>1</v>
      </c>
      <c r="KE8" s="25">
        <f t="shared" si="94"/>
        <v>0</v>
      </c>
      <c r="KF8" s="7"/>
      <c r="KG8" s="8">
        <f t="shared" si="158"/>
        <v>6</v>
      </c>
      <c r="KH8" s="5">
        <v>1</v>
      </c>
      <c r="KI8" s="47">
        <v>1</v>
      </c>
      <c r="KJ8" s="25">
        <f t="shared" si="95"/>
        <v>72</v>
      </c>
      <c r="KK8" s="25">
        <f t="shared" si="159"/>
        <v>209</v>
      </c>
      <c r="KL8" s="47">
        <v>1</v>
      </c>
      <c r="KM8" s="25">
        <f t="shared" si="96"/>
        <v>21</v>
      </c>
      <c r="KN8" s="47">
        <v>1.5</v>
      </c>
      <c r="KO8" s="25">
        <f t="shared" si="97"/>
        <v>4800</v>
      </c>
      <c r="KP8" s="2">
        <v>1.5</v>
      </c>
      <c r="KQ8" s="25">
        <f t="shared" si="98"/>
        <v>0</v>
      </c>
      <c r="KR8" s="33" t="str">
        <f t="shared" si="99"/>
        <v>4h 0m</v>
      </c>
      <c r="KS8" s="46">
        <v>1</v>
      </c>
      <c r="KT8" s="25">
        <f t="shared" si="100"/>
        <v>14400</v>
      </c>
      <c r="KU8" s="7"/>
      <c r="KV8" s="8">
        <f t="shared" si="160"/>
        <v>0</v>
      </c>
      <c r="KW8" s="5">
        <v>0</v>
      </c>
      <c r="KX8" s="47">
        <v>1</v>
      </c>
      <c r="KY8" s="25">
        <f t="shared" si="101"/>
        <v>0</v>
      </c>
      <c r="KZ8" s="25">
        <f t="shared" si="161"/>
        <v>0</v>
      </c>
      <c r="LA8" s="47">
        <v>1</v>
      </c>
      <c r="LB8" s="25">
        <f t="shared" si="102"/>
        <v>0</v>
      </c>
      <c r="LC8" s="47">
        <v>1.5</v>
      </c>
      <c r="LD8" s="25">
        <f t="shared" si="103"/>
        <v>0</v>
      </c>
      <c r="LE8" s="2">
        <v>1.5</v>
      </c>
      <c r="LF8" s="25">
        <f t="shared" si="162"/>
        <v>0</v>
      </c>
      <c r="LG8" s="33" t="str">
        <f t="shared" si="104"/>
        <v>0h 0m</v>
      </c>
      <c r="LH8" s="46">
        <v>1</v>
      </c>
      <c r="LI8" s="25">
        <f t="shared" si="105"/>
        <v>0</v>
      </c>
      <c r="LJ8" s="7"/>
      <c r="LK8" s="8">
        <f t="shared" si="163"/>
        <v>0</v>
      </c>
      <c r="LL8" s="5">
        <v>0</v>
      </c>
      <c r="LM8" s="47">
        <v>1</v>
      </c>
      <c r="LN8" s="25">
        <f t="shared" si="106"/>
        <v>0</v>
      </c>
      <c r="LO8" s="25">
        <f t="shared" si="164"/>
        <v>0</v>
      </c>
      <c r="LP8" s="47">
        <v>1</v>
      </c>
      <c r="LQ8" s="25">
        <f t="shared" si="107"/>
        <v>0</v>
      </c>
      <c r="LR8" s="47">
        <v>1.5</v>
      </c>
      <c r="LS8" s="25">
        <f t="shared" si="108"/>
        <v>0</v>
      </c>
      <c r="LT8" s="2">
        <v>1.5</v>
      </c>
      <c r="LU8" s="25">
        <f t="shared" si="165"/>
        <v>0</v>
      </c>
      <c r="LV8" s="33" t="str">
        <f t="shared" si="109"/>
        <v>0h 0m</v>
      </c>
      <c r="LW8" s="46">
        <v>1</v>
      </c>
      <c r="LX8" s="25">
        <f t="shared" si="110"/>
        <v>0</v>
      </c>
      <c r="LY8" s="7"/>
      <c r="LZ8" s="8">
        <f t="shared" si="166"/>
        <v>0</v>
      </c>
      <c r="MA8" s="5">
        <v>0</v>
      </c>
      <c r="MB8" s="47">
        <v>1</v>
      </c>
      <c r="MC8" s="25">
        <f t="shared" si="111"/>
        <v>0</v>
      </c>
      <c r="MD8" s="25">
        <f t="shared" si="167"/>
        <v>0</v>
      </c>
      <c r="ME8" s="47">
        <v>1</v>
      </c>
      <c r="MF8" s="25">
        <f t="shared" si="112"/>
        <v>0</v>
      </c>
      <c r="MG8" s="47">
        <v>1.5</v>
      </c>
      <c r="MH8" s="25">
        <f t="shared" si="113"/>
        <v>0</v>
      </c>
      <c r="MI8" s="2">
        <v>1.5</v>
      </c>
      <c r="MJ8" s="25">
        <f t="shared" si="168"/>
        <v>0</v>
      </c>
      <c r="MK8" s="33" t="str">
        <f t="shared" si="114"/>
        <v>0h 0m</v>
      </c>
      <c r="ML8" s="46">
        <v>1</v>
      </c>
      <c r="MM8" s="25">
        <f t="shared" si="115"/>
        <v>0</v>
      </c>
      <c r="MN8" s="7"/>
      <c r="MO8" s="8">
        <f t="shared" si="169"/>
        <v>4</v>
      </c>
      <c r="MP8" s="5">
        <v>1</v>
      </c>
      <c r="MQ8" s="47">
        <v>1</v>
      </c>
      <c r="MR8" s="25">
        <f t="shared" si="116"/>
        <v>72</v>
      </c>
      <c r="MS8" s="25">
        <f t="shared" si="170"/>
        <v>198</v>
      </c>
      <c r="MT8" s="47">
        <v>1.5</v>
      </c>
      <c r="MU8" s="25">
        <f t="shared" si="117"/>
        <v>32</v>
      </c>
      <c r="MV8" s="47">
        <v>4</v>
      </c>
      <c r="MW8" s="25">
        <f t="shared" si="118"/>
        <v>12800</v>
      </c>
      <c r="MX8" s="2">
        <v>1.5</v>
      </c>
      <c r="MY8" s="25">
        <f t="shared" si="171"/>
        <v>0</v>
      </c>
      <c r="MZ8" s="33" t="str">
        <f t="shared" si="119"/>
        <v>4h 0m</v>
      </c>
      <c r="NA8" s="46">
        <v>1</v>
      </c>
      <c r="NB8" s="25">
        <f t="shared" si="120"/>
        <v>14400</v>
      </c>
      <c r="NC8" s="7"/>
      <c r="ND8" s="8">
        <f t="shared" si="172"/>
        <v>5</v>
      </c>
      <c r="NE8" s="5">
        <v>1</v>
      </c>
      <c r="NF8" s="47">
        <v>1</v>
      </c>
      <c r="NG8" s="25">
        <f t="shared" si="121"/>
        <v>72</v>
      </c>
      <c r="NH8" s="25">
        <f t="shared" si="173"/>
        <v>207</v>
      </c>
      <c r="NI8" s="47">
        <v>4</v>
      </c>
      <c r="NJ8" s="25">
        <f>IF(NE8,baseBetterNumbers(NI8*$DD8),IF(ND8,NJ7,0))</f>
        <v>12800</v>
      </c>
      <c r="NK8" s="2">
        <v>1.5</v>
      </c>
      <c r="NL8" s="25">
        <f>IF(NE8,baseBetterNumbers(NK8*$DG8),IF(ND8-1,NL7,0))</f>
        <v>0</v>
      </c>
      <c r="NM8" s="33" t="str">
        <f t="shared" si="122"/>
        <v>4h 0m</v>
      </c>
      <c r="NN8" s="46">
        <v>1</v>
      </c>
      <c r="NO8" s="25">
        <f>IF(NE8,baseBetterNumbers(NN8*$DK8),IF(ND8,NO7,0))</f>
        <v>14400</v>
      </c>
      <c r="NP8" s="47">
        <v>1.5</v>
      </c>
      <c r="NQ8" s="25">
        <f t="shared" si="188"/>
        <v>480</v>
      </c>
      <c r="NR8" s="1">
        <f t="shared" si="123"/>
        <v>960</v>
      </c>
      <c r="NS8" s="1" t="e">
        <f>G8+AJ8*DT8+AL8*EK8+AN8*FE8+AP8*FV8+AR8*GP8+AT8*HG8+AV8*IA8+AX8*IQ8+AZ8*JI8+BD8*KM8+BF8*LB8+BH8*LQ8+BJ8*MF8+BL8*MU8+BR8*OA8+BT8*OP8+BV8*#REF!+BX8*#REF!+BZ8*PU8+#REF!*#REF!+#REF!*#REF!</f>
        <v>#REF!</v>
      </c>
      <c r="NU8" s="8">
        <f t="shared" si="174"/>
        <v>3</v>
      </c>
      <c r="NV8" s="5">
        <v>1</v>
      </c>
      <c r="NW8" s="47">
        <v>1</v>
      </c>
      <c r="NX8" s="25">
        <f t="shared" si="124"/>
        <v>72</v>
      </c>
      <c r="NY8" s="25">
        <f t="shared" si="175"/>
        <v>180</v>
      </c>
      <c r="NZ8" s="47">
        <v>2</v>
      </c>
      <c r="OA8" s="25">
        <f t="shared" si="125"/>
        <v>42</v>
      </c>
      <c r="OB8" s="47">
        <v>8</v>
      </c>
      <c r="OC8" s="25">
        <f t="shared" si="126"/>
        <v>25600</v>
      </c>
      <c r="OD8" s="2">
        <v>1.5</v>
      </c>
      <c r="OE8" s="25">
        <f t="shared" si="176"/>
        <v>0</v>
      </c>
      <c r="OF8" s="33" t="str">
        <f t="shared" si="127"/>
        <v>8h 0m</v>
      </c>
      <c r="OG8" s="46">
        <v>2</v>
      </c>
      <c r="OH8" s="25">
        <f t="shared" si="128"/>
        <v>28800</v>
      </c>
      <c r="OI8" s="7"/>
      <c r="OJ8" s="8">
        <f t="shared" si="177"/>
        <v>3</v>
      </c>
      <c r="OK8" s="5">
        <v>1</v>
      </c>
      <c r="OL8" s="47">
        <v>1</v>
      </c>
      <c r="OM8" s="25">
        <f t="shared" si="129"/>
        <v>72</v>
      </c>
      <c r="ON8" s="25">
        <f t="shared" si="178"/>
        <v>180</v>
      </c>
      <c r="OO8" s="47">
        <v>2</v>
      </c>
      <c r="OP8" s="25">
        <f t="shared" si="130"/>
        <v>42</v>
      </c>
      <c r="OQ8" s="47">
        <v>10</v>
      </c>
      <c r="OR8" s="25">
        <f t="shared" si="131"/>
        <v>32000</v>
      </c>
      <c r="OS8" s="2">
        <v>1.5</v>
      </c>
      <c r="OT8" s="25">
        <f t="shared" si="179"/>
        <v>0</v>
      </c>
      <c r="OU8" s="33" t="str">
        <f t="shared" si="132"/>
        <v>16h 0m</v>
      </c>
      <c r="OV8" s="46">
        <v>4</v>
      </c>
      <c r="OW8" s="25">
        <f t="shared" si="133"/>
        <v>57600</v>
      </c>
      <c r="OX8" s="82">
        <f t="shared" ref="OX8:OX17" si="194">OX7-0.05</f>
        <v>0.64999999999999991</v>
      </c>
      <c r="OY8" s="82">
        <v>0.5</v>
      </c>
      <c r="OZ8" s="78" t="str">
        <f t="shared" si="191"/>
        <v>5h 0m</v>
      </c>
      <c r="PA8" s="25">
        <v>18000</v>
      </c>
      <c r="PB8" s="47">
        <v>2</v>
      </c>
      <c r="PC8" s="25">
        <f>baseBetterNumbers(DD8*PB8)</f>
        <v>6400</v>
      </c>
      <c r="PD8" s="82">
        <f t="shared" ref="PD8:PD17" si="195">PD7+0.05</f>
        <v>0.60000000000000009</v>
      </c>
      <c r="PE8" s="82">
        <v>0</v>
      </c>
      <c r="PF8" s="25">
        <v>0</v>
      </c>
      <c r="PG8" s="78" t="str">
        <f t="shared" si="192"/>
        <v>20h 0m</v>
      </c>
      <c r="PH8" s="25">
        <f t="shared" si="193"/>
        <v>72000</v>
      </c>
      <c r="PI8" s="47">
        <v>10</v>
      </c>
      <c r="PJ8" s="25">
        <f>baseBetterNumbers(DD8*PI8)</f>
        <v>32000</v>
      </c>
      <c r="PK8" s="82">
        <v>1</v>
      </c>
      <c r="PL8" s="82">
        <f t="shared" ref="PL8:PL17" si="196">PL7+0.05</f>
        <v>0.35</v>
      </c>
      <c r="PM8" s="82">
        <v>0.05</v>
      </c>
      <c r="PN8" s="25"/>
      <c r="PO8" s="5">
        <v>0</v>
      </c>
      <c r="PP8" s="5">
        <v>0</v>
      </c>
      <c r="PQ8" s="5"/>
      <c r="PR8" s="25">
        <f>IF(PP8,cio2StepsChangesX(PR7,BZ8,Conf!BM$40,Conf!BM$41,Conf!BN$39,Conf!BN$40,Conf!BN$41),PR7)</f>
        <v>0</v>
      </c>
      <c r="PS8" s="25">
        <f t="shared" si="180"/>
        <v>0</v>
      </c>
      <c r="PT8" s="25"/>
      <c r="PU8" s="3">
        <f>IF(PP8,cio2StepsChangesX(PU7,PO8,Conf!BM$46,Conf!BM$47,Conf!BN$45,Conf!BN$46,Conf!BN$47),PU7)</f>
        <v>0</v>
      </c>
      <c r="PV8" s="3"/>
      <c r="PW8" s="3">
        <f>IF(PP8,cio2StepsChangesX(PW7,PO8,Conf!BY$18,Conf!BY$19,Conf!BZ$17,Conf!BZ$18,Conf!BZ$19),PW7)</f>
        <v>0</v>
      </c>
      <c r="PX8" s="20"/>
      <c r="PY8" s="3">
        <f>IF(PP8,cioCFTiPrice(PY7,PO8),PY7)</f>
        <v>0</v>
      </c>
      <c r="PZ8" s="33" t="str">
        <f t="shared" si="189"/>
        <v>0h 0m</v>
      </c>
      <c r="QA8" s="33"/>
      <c r="QB8" s="7">
        <f>cioUpTime(Conf!E$57,A8,PW8)</f>
        <v>0</v>
      </c>
    </row>
    <row r="9" spans="1:444">
      <c r="A9" s="66">
        <f t="shared" si="134"/>
        <v>7</v>
      </c>
      <c r="B9" s="8">
        <v>1</v>
      </c>
      <c r="C9" s="47">
        <v>0</v>
      </c>
      <c r="D9" s="25">
        <f>IF(B9,baseBetterNumbers(C9*$CY9),IF(A9-1,D8,0))</f>
        <v>0</v>
      </c>
      <c r="E9" s="25">
        <f t="shared" si="135"/>
        <v>0</v>
      </c>
      <c r="F9" s="47">
        <v>1</v>
      </c>
      <c r="G9" s="25">
        <f>IF(B9,baseBetterNumbers(F9*$DB9),IF(A9-1,G8,0))</f>
        <v>32</v>
      </c>
      <c r="H9" s="47">
        <v>4</v>
      </c>
      <c r="I9" s="25">
        <f>IF(B9,baseBetterNumbers(H9*$DD9),IF(A9-1,I8,0))</f>
        <v>25600</v>
      </c>
      <c r="J9" s="2">
        <v>0</v>
      </c>
      <c r="K9" s="25">
        <f>IF(B9,baseBetterNumbers(J9*$DG9),IF(A9-1,K8,0))</f>
        <v>0</v>
      </c>
      <c r="L9" s="33" t="str">
        <f t="shared" si="11"/>
        <v>8h 0m</v>
      </c>
      <c r="M9" s="46">
        <v>1</v>
      </c>
      <c r="N9" s="25">
        <f>IF(B9,baseBetterNumbers(M9*$DK9),IF(A9-1,N8,0))</f>
        <v>28800</v>
      </c>
      <c r="O9" s="7">
        <v>0.5</v>
      </c>
      <c r="P9" s="3">
        <f>baseBetterNumbers(O9*EC9)</f>
        <v>38400</v>
      </c>
      <c r="Q9" s="3">
        <f>baseBetterNumbers(O9*FN9)</f>
        <v>38400</v>
      </c>
      <c r="R9" s="3">
        <f>baseBetterNumbers(O9*GY9)</f>
        <v>30800</v>
      </c>
      <c r="S9" s="3">
        <v>40</v>
      </c>
      <c r="T9" s="38">
        <v>4.0000000000000001E-3</v>
      </c>
      <c r="U9" s="38">
        <v>3.5E-4</v>
      </c>
      <c r="V9" s="38">
        <v>3.5E-4</v>
      </c>
      <c r="W9" s="38">
        <v>3.5E-4</v>
      </c>
      <c r="X9" s="3">
        <v>1</v>
      </c>
      <c r="Y9" s="3"/>
      <c r="Z9" s="3"/>
      <c r="AA9" s="3"/>
      <c r="AB9" s="3"/>
      <c r="AC9" s="3"/>
      <c r="AD9" s="3" t="e">
        <f>-AC9+E9+AJ9*DR9+AL9*EI9+AN9*FC9+AP9*FT9+AR9*GN9+AT9*HE9+AV9*HY9+AX9*IO9+AZ9*JG9+BD9*KK9+BF9*KZ9+BH9*LO9+BJ9*MD9+BL9*MS9+BP9*NH9+BR9*NY9+BT9*ON9+BV9*#REF!+BX9*#REF!+BZ9*PS9+#REF!*#REF!+#REF!*#REF!</f>
        <v>#REF!</v>
      </c>
      <c r="AE9" s="3" t="e">
        <f t="shared" si="137"/>
        <v>#REF!</v>
      </c>
      <c r="AF9" s="3"/>
      <c r="AG9" s="3" t="e">
        <f>SUM(AI3:AI9)</f>
        <v>#REF!</v>
      </c>
      <c r="AH9" s="3">
        <f t="shared" si="12"/>
        <v>4</v>
      </c>
      <c r="AI9" s="3" t="e">
        <f>AK9+AM9+AO9+AQ9+AS9+AU9+AW9+AY9+BA9+BE9+BG9+BI9+BK9+BM9+BO9+BQ9+BS9+BU9+BW9+BY9+CA9+#REF!+#REF!</f>
        <v>#REF!</v>
      </c>
      <c r="AJ9" s="3">
        <f>SUM(AK3:AK9)</f>
        <v>2</v>
      </c>
      <c r="AK9" s="3"/>
      <c r="AL9" s="3">
        <f>SUM(AM3:AM9)</f>
        <v>4</v>
      </c>
      <c r="AM9" s="3">
        <v>1</v>
      </c>
      <c r="AN9" s="3">
        <f>SUM(AO3:AO9)</f>
        <v>2</v>
      </c>
      <c r="AO9" s="3"/>
      <c r="AP9" s="3">
        <f>SUM(AQ3:AQ9)</f>
        <v>3</v>
      </c>
      <c r="AQ9" s="3"/>
      <c r="AR9" s="3">
        <f>SUM(AS3:AS9)</f>
        <v>1</v>
      </c>
      <c r="AS9" s="3">
        <v>1</v>
      </c>
      <c r="AT9" s="3">
        <f>SUM(AU3:AU9)</f>
        <v>1</v>
      </c>
      <c r="AU9" s="24">
        <v>1</v>
      </c>
      <c r="AV9" s="3">
        <f>SUM(AW3:AW9)</f>
        <v>3</v>
      </c>
      <c r="AW9" s="3"/>
      <c r="AX9" s="3">
        <f>SUM(AY3:AY9)</f>
        <v>1</v>
      </c>
      <c r="AY9" s="3"/>
      <c r="AZ9" s="3">
        <f>SUM(BA3:BA9)</f>
        <v>1</v>
      </c>
      <c r="BA9" s="3"/>
      <c r="BB9" s="3">
        <f>SUM(BC3:BC9)</f>
        <v>11</v>
      </c>
      <c r="BC9" s="3">
        <v>1</v>
      </c>
      <c r="BD9" s="3">
        <f>SUM(BE3:BE9)</f>
        <v>4</v>
      </c>
      <c r="BE9" s="3"/>
      <c r="BF9" s="3">
        <f>SUM(BG3:BG9)</f>
        <v>0</v>
      </c>
      <c r="BG9" s="3"/>
      <c r="BH9" s="3">
        <f>SUM(BI3:BI9)</f>
        <v>0</v>
      </c>
      <c r="BI9" s="3"/>
      <c r="BJ9" s="3">
        <f>SUM(BK3:BK9)</f>
        <v>0</v>
      </c>
      <c r="BK9" s="3"/>
      <c r="BL9" s="3">
        <f>SUM(BM3:BM9)</f>
        <v>2</v>
      </c>
      <c r="BM9" s="3"/>
      <c r="BN9" s="3">
        <f>SUM(BO3:BO9)</f>
        <v>1</v>
      </c>
      <c r="BO9" s="3"/>
      <c r="BP9" s="3">
        <f>SUM(BQ3:BQ9)</f>
        <v>3</v>
      </c>
      <c r="BQ9" s="3">
        <v>1</v>
      </c>
      <c r="BR9" s="3">
        <f>SUM(BS3:BS9)</f>
        <v>1</v>
      </c>
      <c r="BS9" s="3"/>
      <c r="BT9" s="3">
        <f>SUM(BU3:BU9)</f>
        <v>1</v>
      </c>
      <c r="BU9" s="3"/>
      <c r="BV9" s="3">
        <f>SUM(BW3:BW9)</f>
        <v>1</v>
      </c>
      <c r="BW9" s="3"/>
      <c r="BX9" s="3">
        <f>SUM(BY3:BY9)</f>
        <v>0</v>
      </c>
      <c r="BY9" s="3"/>
      <c r="BZ9" s="3">
        <f>SUM(CA3:CA9)</f>
        <v>0</v>
      </c>
      <c r="CA9" s="3"/>
      <c r="CC9" s="1">
        <f t="shared" si="0"/>
        <v>10800</v>
      </c>
      <c r="CD9" s="1">
        <f t="shared" si="1"/>
        <v>192000</v>
      </c>
      <c r="CE9" s="1">
        <f t="shared" si="2"/>
        <v>102400</v>
      </c>
      <c r="CF9" s="12">
        <f t="shared" si="3"/>
        <v>9.481481481481481</v>
      </c>
      <c r="CG9" s="12">
        <f t="shared" si="13"/>
        <v>1.875</v>
      </c>
      <c r="CI9" s="1">
        <f t="shared" si="4"/>
        <v>8100</v>
      </c>
      <c r="CJ9" s="1">
        <f t="shared" si="5"/>
        <v>192000</v>
      </c>
      <c r="CK9" s="1">
        <f t="shared" si="6"/>
        <v>76800</v>
      </c>
      <c r="CL9" s="12">
        <f t="shared" si="14"/>
        <v>9.481481481481481</v>
      </c>
      <c r="CM9" s="12">
        <f t="shared" si="15"/>
        <v>2.5</v>
      </c>
      <c r="CO9" s="1">
        <f t="shared" si="7"/>
        <v>2160</v>
      </c>
      <c r="CP9" s="1">
        <f t="shared" si="8"/>
        <v>92300</v>
      </c>
      <c r="CQ9" s="1">
        <f t="shared" si="9"/>
        <v>20500</v>
      </c>
      <c r="CR9" s="12">
        <f t="shared" si="16"/>
        <v>9.4907407407407405</v>
      </c>
      <c r="CS9" s="12">
        <f t="shared" si="17"/>
        <v>4.5024390243902435</v>
      </c>
      <c r="CV9" s="8">
        <f t="shared" si="18"/>
        <v>7</v>
      </c>
      <c r="CW9" s="8">
        <v>1</v>
      </c>
      <c r="CX9" s="45">
        <f t="shared" ref="CX9:CX11" si="197">CX8</f>
        <v>0.5</v>
      </c>
      <c r="CY9" s="25">
        <f t="shared" si="10"/>
        <v>144</v>
      </c>
      <c r="CZ9" s="25">
        <f t="shared" si="19"/>
        <v>353</v>
      </c>
      <c r="DA9" s="47">
        <f t="shared" si="181"/>
        <v>1.5</v>
      </c>
      <c r="DB9" s="3">
        <f t="shared" si="20"/>
        <v>32</v>
      </c>
      <c r="DC9" s="3">
        <f t="shared" si="182"/>
        <v>2</v>
      </c>
      <c r="DD9" s="3">
        <f t="shared" si="21"/>
        <v>6400</v>
      </c>
      <c r="DE9" s="20">
        <f t="shared" si="22"/>
        <v>3.3333333333333333E-2</v>
      </c>
      <c r="DF9" s="2">
        <v>0</v>
      </c>
      <c r="DG9" s="3">
        <v>0</v>
      </c>
      <c r="DH9" s="20">
        <f>DG9/$CP9</f>
        <v>0</v>
      </c>
      <c r="DI9" s="33" t="str">
        <f t="shared" si="23"/>
        <v>8h 0m</v>
      </c>
      <c r="DJ9" s="46">
        <f t="shared" si="190"/>
        <v>2</v>
      </c>
      <c r="DK9" s="28">
        <f t="shared" si="24"/>
        <v>28800</v>
      </c>
      <c r="DN9" s="8">
        <f t="shared" si="139"/>
        <v>7</v>
      </c>
      <c r="DO9" s="8">
        <v>1</v>
      </c>
      <c r="DP9" s="47">
        <v>1</v>
      </c>
      <c r="DQ9" s="25">
        <f t="shared" si="25"/>
        <v>144</v>
      </c>
      <c r="DR9" s="25">
        <f t="shared" si="140"/>
        <v>353</v>
      </c>
      <c r="DS9" s="47">
        <v>1</v>
      </c>
      <c r="DT9" s="25">
        <f t="shared" si="26"/>
        <v>32</v>
      </c>
      <c r="DU9" s="47">
        <v>1</v>
      </c>
      <c r="DV9" s="25">
        <f t="shared" si="27"/>
        <v>6400</v>
      </c>
      <c r="DW9" s="2">
        <v>1</v>
      </c>
      <c r="DX9" s="25">
        <f t="shared" si="28"/>
        <v>0</v>
      </c>
      <c r="DY9" s="33" t="str">
        <f t="shared" si="29"/>
        <v>8h 0m</v>
      </c>
      <c r="DZ9" s="46">
        <v>1</v>
      </c>
      <c r="EA9" s="25">
        <f t="shared" si="30"/>
        <v>28800</v>
      </c>
      <c r="EB9" s="45">
        <v>3</v>
      </c>
      <c r="EC9" s="1">
        <f t="shared" si="31"/>
        <v>76800</v>
      </c>
      <c r="ED9" s="3"/>
      <c r="EE9" s="8">
        <f t="shared" si="141"/>
        <v>7</v>
      </c>
      <c r="EF9" s="8">
        <v>1</v>
      </c>
      <c r="EG9" s="47">
        <v>1</v>
      </c>
      <c r="EH9" s="25">
        <f t="shared" si="32"/>
        <v>144</v>
      </c>
      <c r="EI9" s="25">
        <f t="shared" si="142"/>
        <v>353</v>
      </c>
      <c r="EJ9" s="47">
        <v>1</v>
      </c>
      <c r="EK9" s="25">
        <f t="shared" si="33"/>
        <v>32</v>
      </c>
      <c r="EL9" s="47">
        <v>0.5</v>
      </c>
      <c r="EM9" s="25">
        <f t="shared" si="34"/>
        <v>3200</v>
      </c>
      <c r="EN9" s="2">
        <v>1</v>
      </c>
      <c r="EO9" s="25">
        <f t="shared" si="35"/>
        <v>0</v>
      </c>
      <c r="EP9" s="33" t="str">
        <f t="shared" si="36"/>
        <v>8h 0m</v>
      </c>
      <c r="EQ9" s="46">
        <v>1</v>
      </c>
      <c r="ER9" s="25">
        <f t="shared" si="37"/>
        <v>28800</v>
      </c>
      <c r="ES9" s="45">
        <f t="shared" si="183"/>
        <v>1.5</v>
      </c>
      <c r="ET9" s="3">
        <f t="shared" si="38"/>
        <v>2700</v>
      </c>
      <c r="EU9" s="7">
        <f t="shared" si="184"/>
        <v>2</v>
      </c>
      <c r="EV9" s="3">
        <f t="shared" si="39"/>
        <v>25600</v>
      </c>
      <c r="EW9" s="6" t="str">
        <f t="shared" si="40"/>
        <v>9h 28m</v>
      </c>
      <c r="EY9" s="8">
        <f t="shared" si="143"/>
        <v>7</v>
      </c>
      <c r="EZ9" s="8">
        <v>1</v>
      </c>
      <c r="FA9" s="47">
        <v>1</v>
      </c>
      <c r="FB9" s="25">
        <f t="shared" si="41"/>
        <v>144</v>
      </c>
      <c r="FC9" s="25">
        <f t="shared" si="144"/>
        <v>353</v>
      </c>
      <c r="FD9" s="47">
        <v>1</v>
      </c>
      <c r="FE9" s="25">
        <f t="shared" si="42"/>
        <v>32</v>
      </c>
      <c r="FF9" s="47">
        <v>1</v>
      </c>
      <c r="FG9" s="25">
        <f t="shared" si="43"/>
        <v>6400</v>
      </c>
      <c r="FH9" s="2">
        <v>1</v>
      </c>
      <c r="FI9" s="25">
        <f t="shared" si="44"/>
        <v>0</v>
      </c>
      <c r="FJ9" s="33" t="str">
        <f t="shared" si="45"/>
        <v>8h 0m</v>
      </c>
      <c r="FK9" s="46">
        <v>1</v>
      </c>
      <c r="FL9" s="25">
        <f t="shared" si="46"/>
        <v>28800</v>
      </c>
      <c r="FM9" s="45">
        <v>3</v>
      </c>
      <c r="FN9" s="1">
        <f t="shared" si="47"/>
        <v>76800</v>
      </c>
      <c r="FO9" s="3"/>
      <c r="FP9" s="8">
        <f t="shared" si="145"/>
        <v>7</v>
      </c>
      <c r="FQ9" s="8">
        <v>1</v>
      </c>
      <c r="FR9" s="47">
        <v>1</v>
      </c>
      <c r="FS9" s="25">
        <f t="shared" si="48"/>
        <v>144</v>
      </c>
      <c r="FT9" s="25">
        <f t="shared" si="146"/>
        <v>353</v>
      </c>
      <c r="FU9" s="47">
        <v>1</v>
      </c>
      <c r="FV9" s="25">
        <f t="shared" si="49"/>
        <v>32</v>
      </c>
      <c r="FW9" s="47">
        <v>0.5</v>
      </c>
      <c r="FX9" s="25">
        <f t="shared" si="50"/>
        <v>3200</v>
      </c>
      <c r="FY9" s="2">
        <v>1</v>
      </c>
      <c r="FZ9" s="25">
        <f t="shared" si="51"/>
        <v>0</v>
      </c>
      <c r="GA9" s="33" t="str">
        <f t="shared" si="52"/>
        <v>8h 0m</v>
      </c>
      <c r="GB9" s="46">
        <v>1</v>
      </c>
      <c r="GC9" s="25">
        <f t="shared" si="53"/>
        <v>28800</v>
      </c>
      <c r="GD9" s="45">
        <f t="shared" si="185"/>
        <v>1.5</v>
      </c>
      <c r="GE9" s="3">
        <f t="shared" si="54"/>
        <v>2700</v>
      </c>
      <c r="GF9" s="7">
        <f t="shared" si="186"/>
        <v>2</v>
      </c>
      <c r="GG9" s="3">
        <f t="shared" si="55"/>
        <v>25600</v>
      </c>
      <c r="GH9" s="6" t="str">
        <f t="shared" si="56"/>
        <v>9h 28m</v>
      </c>
      <c r="GJ9" s="8">
        <f t="shared" si="147"/>
        <v>1</v>
      </c>
      <c r="GK9" s="8">
        <v>1</v>
      </c>
      <c r="GL9" s="47">
        <v>1</v>
      </c>
      <c r="GM9" s="25">
        <f t="shared" si="57"/>
        <v>144</v>
      </c>
      <c r="GN9" s="25">
        <f t="shared" si="148"/>
        <v>144</v>
      </c>
      <c r="GO9" s="47">
        <v>1</v>
      </c>
      <c r="GP9" s="25">
        <f t="shared" si="58"/>
        <v>32</v>
      </c>
      <c r="GQ9" s="47">
        <v>2</v>
      </c>
      <c r="GR9" s="25">
        <f t="shared" si="59"/>
        <v>12800</v>
      </c>
      <c r="GS9" s="2">
        <v>0</v>
      </c>
      <c r="GT9" s="25">
        <f t="shared" si="60"/>
        <v>0</v>
      </c>
      <c r="GU9" s="33" t="str">
        <f t="shared" si="61"/>
        <v>8h 0m</v>
      </c>
      <c r="GV9" s="46">
        <v>1</v>
      </c>
      <c r="GW9" s="25">
        <f t="shared" si="62"/>
        <v>28800</v>
      </c>
      <c r="GX9" s="45">
        <v>3</v>
      </c>
      <c r="GY9" s="1">
        <f t="shared" si="63"/>
        <v>61500</v>
      </c>
      <c r="GZ9" s="3"/>
      <c r="HA9" s="8">
        <f t="shared" si="149"/>
        <v>1</v>
      </c>
      <c r="HB9" s="8">
        <v>1</v>
      </c>
      <c r="HC9" s="47">
        <v>1</v>
      </c>
      <c r="HD9" s="25">
        <f t="shared" si="64"/>
        <v>144</v>
      </c>
      <c r="HE9" s="25">
        <f t="shared" si="150"/>
        <v>144</v>
      </c>
      <c r="HF9" s="47">
        <v>1</v>
      </c>
      <c r="HG9" s="25">
        <f t="shared" si="65"/>
        <v>32</v>
      </c>
      <c r="HH9" s="47">
        <v>0.5</v>
      </c>
      <c r="HI9" s="25">
        <f t="shared" si="66"/>
        <v>3200</v>
      </c>
      <c r="HJ9" s="2">
        <v>1</v>
      </c>
      <c r="HK9" s="25">
        <f t="shared" si="67"/>
        <v>0</v>
      </c>
      <c r="HL9" s="33" t="str">
        <f t="shared" si="68"/>
        <v>8h 0m</v>
      </c>
      <c r="HM9" s="46">
        <v>1</v>
      </c>
      <c r="HN9" s="25">
        <f t="shared" si="69"/>
        <v>28800</v>
      </c>
      <c r="HO9" s="45">
        <v>0.8</v>
      </c>
      <c r="HP9" s="3">
        <f>baseBetterNumbers(HO9*GE9)</f>
        <v>2160</v>
      </c>
      <c r="HQ9" s="7">
        <v>0.8</v>
      </c>
      <c r="HR9" s="3">
        <f>baseBetterNumbers(HQ9*GG9)</f>
        <v>20500</v>
      </c>
      <c r="HS9" s="6" t="str">
        <f t="shared" si="70"/>
        <v>9h 29m</v>
      </c>
      <c r="HU9" s="8">
        <f t="shared" si="151"/>
        <v>7</v>
      </c>
      <c r="HV9" s="8">
        <v>1</v>
      </c>
      <c r="HW9" s="47">
        <v>1</v>
      </c>
      <c r="HX9" s="25">
        <f t="shared" si="71"/>
        <v>144</v>
      </c>
      <c r="HY9" s="25">
        <f t="shared" si="152"/>
        <v>353</v>
      </c>
      <c r="HZ9" s="47">
        <v>2</v>
      </c>
      <c r="IA9" s="25">
        <f t="shared" si="72"/>
        <v>64</v>
      </c>
      <c r="IB9" s="47">
        <v>2.5</v>
      </c>
      <c r="IC9" s="25">
        <f t="shared" si="73"/>
        <v>16000</v>
      </c>
      <c r="ID9" s="2">
        <v>2.5</v>
      </c>
      <c r="IE9" s="25">
        <f t="shared" si="74"/>
        <v>0</v>
      </c>
      <c r="IF9" s="33" t="str">
        <f t="shared" si="75"/>
        <v>1d 4h 3m</v>
      </c>
      <c r="IG9" s="46">
        <v>3.5</v>
      </c>
      <c r="IH9" s="25">
        <f t="shared" si="76"/>
        <v>101000</v>
      </c>
      <c r="IK9" s="8">
        <f t="shared" si="153"/>
        <v>3</v>
      </c>
      <c r="IL9" s="8">
        <v>1</v>
      </c>
      <c r="IM9" s="47">
        <v>1</v>
      </c>
      <c r="IN9" s="25">
        <f t="shared" si="77"/>
        <v>144</v>
      </c>
      <c r="IO9" s="25">
        <f t="shared" si="154"/>
        <v>288</v>
      </c>
      <c r="IP9" s="47">
        <v>3</v>
      </c>
      <c r="IQ9" s="25">
        <f t="shared" si="78"/>
        <v>96</v>
      </c>
      <c r="IR9" s="47">
        <v>8</v>
      </c>
      <c r="IS9" s="25">
        <f t="shared" si="79"/>
        <v>51200</v>
      </c>
      <c r="IT9" s="2">
        <v>5</v>
      </c>
      <c r="IU9" s="25">
        <f t="shared" si="80"/>
        <v>0</v>
      </c>
      <c r="IV9" s="33" t="str">
        <f t="shared" si="81"/>
        <v>1d 7h 56m</v>
      </c>
      <c r="IW9" s="46">
        <v>4</v>
      </c>
      <c r="IX9" s="25">
        <f t="shared" si="82"/>
        <v>115000</v>
      </c>
      <c r="IY9" s="25">
        <v>7</v>
      </c>
      <c r="IZ9" s="25">
        <v>0</v>
      </c>
      <c r="JA9" s="25">
        <v>0</v>
      </c>
      <c r="JB9" s="7"/>
      <c r="JC9" s="8">
        <f t="shared" si="155"/>
        <v>2</v>
      </c>
      <c r="JD9" s="8">
        <v>1</v>
      </c>
      <c r="JE9" s="47">
        <v>1</v>
      </c>
      <c r="JF9" s="25">
        <f t="shared" si="83"/>
        <v>144</v>
      </c>
      <c r="JG9" s="25">
        <f t="shared" si="156"/>
        <v>216</v>
      </c>
      <c r="JH9" s="47">
        <v>0.5</v>
      </c>
      <c r="JI9" s="25">
        <f t="shared" si="84"/>
        <v>16</v>
      </c>
      <c r="JJ9" s="47">
        <v>2.5</v>
      </c>
      <c r="JK9" s="25">
        <f t="shared" si="85"/>
        <v>16000</v>
      </c>
      <c r="JL9" s="2">
        <v>2.5</v>
      </c>
      <c r="JM9" s="25">
        <f t="shared" si="86"/>
        <v>0</v>
      </c>
      <c r="JN9" s="33" t="str">
        <f t="shared" si="87"/>
        <v>12h 0m</v>
      </c>
      <c r="JO9" s="46">
        <v>1.5</v>
      </c>
      <c r="JP9" s="25">
        <f t="shared" si="88"/>
        <v>43200</v>
      </c>
      <c r="JQ9" s="7"/>
      <c r="JR9" s="8">
        <f t="shared" si="89"/>
        <v>1</v>
      </c>
      <c r="JS9" s="5">
        <v>0</v>
      </c>
      <c r="JT9" s="47">
        <v>1</v>
      </c>
      <c r="JU9" s="25">
        <f t="shared" si="90"/>
        <v>0</v>
      </c>
      <c r="JV9" s="25">
        <f t="shared" si="157"/>
        <v>0</v>
      </c>
      <c r="JW9" s="47">
        <v>1</v>
      </c>
      <c r="JX9" s="25">
        <f t="shared" si="91"/>
        <v>0</v>
      </c>
      <c r="JY9" s="47">
        <v>1.5</v>
      </c>
      <c r="JZ9" s="25">
        <f>IF(JS9,baseBetterNumbers(JY9*$DD9),IF(JR9-1,JZ8,0))</f>
        <v>0</v>
      </c>
      <c r="KA9" s="2">
        <v>1.5</v>
      </c>
      <c r="KB9" s="25">
        <f t="shared" si="92"/>
        <v>0</v>
      </c>
      <c r="KC9" s="33" t="str">
        <f t="shared" si="93"/>
        <v>0h 0m</v>
      </c>
      <c r="KD9" s="46">
        <v>1</v>
      </c>
      <c r="KE9" s="25">
        <f t="shared" si="94"/>
        <v>0</v>
      </c>
      <c r="KF9" s="7"/>
      <c r="KG9" s="8">
        <f t="shared" si="158"/>
        <v>7</v>
      </c>
      <c r="KH9" s="8">
        <v>1</v>
      </c>
      <c r="KI9" s="47">
        <v>1</v>
      </c>
      <c r="KJ9" s="25">
        <f t="shared" si="95"/>
        <v>144</v>
      </c>
      <c r="KK9" s="25">
        <f t="shared" si="159"/>
        <v>353</v>
      </c>
      <c r="KL9" s="47">
        <v>1</v>
      </c>
      <c r="KM9" s="25">
        <f t="shared" si="96"/>
        <v>32</v>
      </c>
      <c r="KN9" s="47">
        <v>1.5</v>
      </c>
      <c r="KO9" s="25">
        <f t="shared" si="97"/>
        <v>9600</v>
      </c>
      <c r="KP9" s="2">
        <v>1.5</v>
      </c>
      <c r="KQ9" s="25">
        <f t="shared" si="98"/>
        <v>0</v>
      </c>
      <c r="KR9" s="33" t="str">
        <f t="shared" si="99"/>
        <v>8h 0m</v>
      </c>
      <c r="KS9" s="46">
        <v>1</v>
      </c>
      <c r="KT9" s="25">
        <f t="shared" si="100"/>
        <v>28800</v>
      </c>
      <c r="KU9" s="7"/>
      <c r="KV9" s="8">
        <f t="shared" si="160"/>
        <v>0</v>
      </c>
      <c r="KW9" s="5">
        <v>0</v>
      </c>
      <c r="KX9" s="47">
        <v>1</v>
      </c>
      <c r="KY9" s="25">
        <f t="shared" si="101"/>
        <v>0</v>
      </c>
      <c r="KZ9" s="25">
        <f t="shared" si="161"/>
        <v>0</v>
      </c>
      <c r="LA9" s="47">
        <v>1</v>
      </c>
      <c r="LB9" s="25">
        <f t="shared" si="102"/>
        <v>0</v>
      </c>
      <c r="LC9" s="47">
        <v>1.5</v>
      </c>
      <c r="LD9" s="25">
        <f t="shared" si="103"/>
        <v>0</v>
      </c>
      <c r="LE9" s="2">
        <v>1.5</v>
      </c>
      <c r="LF9" s="25">
        <f t="shared" si="162"/>
        <v>0</v>
      </c>
      <c r="LG9" s="33" t="str">
        <f t="shared" si="104"/>
        <v>0h 0m</v>
      </c>
      <c r="LH9" s="46">
        <v>1</v>
      </c>
      <c r="LI9" s="25">
        <f t="shared" si="105"/>
        <v>0</v>
      </c>
      <c r="LJ9" s="7"/>
      <c r="LK9" s="8">
        <f t="shared" si="163"/>
        <v>0</v>
      </c>
      <c r="LL9" s="5">
        <v>0</v>
      </c>
      <c r="LM9" s="47">
        <v>1</v>
      </c>
      <c r="LN9" s="25">
        <f t="shared" si="106"/>
        <v>0</v>
      </c>
      <c r="LO9" s="25">
        <f t="shared" si="164"/>
        <v>0</v>
      </c>
      <c r="LP9" s="47">
        <v>1</v>
      </c>
      <c r="LQ9" s="25">
        <f t="shared" si="107"/>
        <v>0</v>
      </c>
      <c r="LR9" s="47">
        <v>1.5</v>
      </c>
      <c r="LS9" s="25">
        <f t="shared" si="108"/>
        <v>0</v>
      </c>
      <c r="LT9" s="2">
        <v>1.5</v>
      </c>
      <c r="LU9" s="25">
        <f t="shared" si="165"/>
        <v>0</v>
      </c>
      <c r="LV9" s="33" t="str">
        <f t="shared" si="109"/>
        <v>0h 0m</v>
      </c>
      <c r="LW9" s="46">
        <v>1</v>
      </c>
      <c r="LX9" s="25">
        <f t="shared" si="110"/>
        <v>0</v>
      </c>
      <c r="LY9" s="7"/>
      <c r="LZ9" s="8">
        <f t="shared" si="166"/>
        <v>0</v>
      </c>
      <c r="MA9" s="5">
        <v>0</v>
      </c>
      <c r="MB9" s="47">
        <v>1</v>
      </c>
      <c r="MC9" s="25">
        <f t="shared" si="111"/>
        <v>0</v>
      </c>
      <c r="MD9" s="25">
        <f t="shared" si="167"/>
        <v>0</v>
      </c>
      <c r="ME9" s="47">
        <v>1</v>
      </c>
      <c r="MF9" s="25">
        <f t="shared" si="112"/>
        <v>0</v>
      </c>
      <c r="MG9" s="47">
        <v>1.5</v>
      </c>
      <c r="MH9" s="25">
        <f t="shared" si="113"/>
        <v>0</v>
      </c>
      <c r="MI9" s="2">
        <v>1.5</v>
      </c>
      <c r="MJ9" s="25">
        <f t="shared" si="168"/>
        <v>0</v>
      </c>
      <c r="MK9" s="33" t="str">
        <f t="shared" si="114"/>
        <v>0h 0m</v>
      </c>
      <c r="ML9" s="46">
        <v>1</v>
      </c>
      <c r="MM9" s="25">
        <f t="shared" si="115"/>
        <v>0</v>
      </c>
      <c r="MN9" s="7"/>
      <c r="MO9" s="8">
        <f t="shared" si="169"/>
        <v>5</v>
      </c>
      <c r="MP9" s="5">
        <v>1</v>
      </c>
      <c r="MQ9" s="47">
        <v>1</v>
      </c>
      <c r="MR9" s="25">
        <f t="shared" si="116"/>
        <v>144</v>
      </c>
      <c r="MS9" s="25">
        <f t="shared" si="170"/>
        <v>342</v>
      </c>
      <c r="MT9" s="47">
        <v>1.5</v>
      </c>
      <c r="MU9" s="25">
        <f t="shared" si="117"/>
        <v>48</v>
      </c>
      <c r="MV9" s="47">
        <v>3</v>
      </c>
      <c r="MW9" s="25">
        <f t="shared" si="118"/>
        <v>19200</v>
      </c>
      <c r="MX9" s="2">
        <v>1.5</v>
      </c>
      <c r="MY9" s="25">
        <f t="shared" si="171"/>
        <v>0</v>
      </c>
      <c r="MZ9" s="33" t="str">
        <f t="shared" si="119"/>
        <v>8h 0m</v>
      </c>
      <c r="NA9" s="46">
        <v>1</v>
      </c>
      <c r="NB9" s="25">
        <f t="shared" si="120"/>
        <v>28800</v>
      </c>
      <c r="NC9" s="7"/>
      <c r="ND9" s="8">
        <f t="shared" si="172"/>
        <v>6</v>
      </c>
      <c r="NE9" s="5">
        <v>1</v>
      </c>
      <c r="NF9" s="47">
        <v>1</v>
      </c>
      <c r="NG9" s="25">
        <f t="shared" si="121"/>
        <v>144</v>
      </c>
      <c r="NH9" s="25">
        <f t="shared" si="173"/>
        <v>351</v>
      </c>
      <c r="NI9" s="47">
        <v>3</v>
      </c>
      <c r="NJ9" s="25">
        <f>IF(NE9,baseBetterNumbers(NI9*$DD9),IF(ND9,NJ8,0))</f>
        <v>19200</v>
      </c>
      <c r="NK9" s="2">
        <v>1.5</v>
      </c>
      <c r="NL9" s="25">
        <f>IF(NE9,baseBetterNumbers(NK9*$DG9),IF(ND9-1,NL8,0))</f>
        <v>0</v>
      </c>
      <c r="NM9" s="33" t="str">
        <f t="shared" si="122"/>
        <v>8h 0m</v>
      </c>
      <c r="NN9" s="46">
        <v>1</v>
      </c>
      <c r="NO9" s="25">
        <f>IF(NE9,baseBetterNumbers(NN9*$DK9),IF(ND9,NO8,0))</f>
        <v>28800</v>
      </c>
      <c r="NP9" s="47">
        <v>1.3</v>
      </c>
      <c r="NQ9" s="25">
        <f t="shared" si="188"/>
        <v>624</v>
      </c>
      <c r="NR9" s="1">
        <f t="shared" si="123"/>
        <v>1872</v>
      </c>
      <c r="NS9" s="1" t="e">
        <f>G9+AJ9*DT9+AL9*EK9+AN9*FE9+AP9*FV9+AR9*GP9+AT9*HG9+AV9*IA9+AX9*IQ9+AZ9*JI9+BD9*KM9+BF9*LB9+BH9*LQ9+BJ9*MF9+BL9*MU9+BR9*OA9+BT9*OP9+BV9*#REF!+BX9*#REF!+BZ9*PU9+#REF!*#REF!+#REF!*#REF!</f>
        <v>#REF!</v>
      </c>
      <c r="NU9" s="8">
        <f t="shared" si="174"/>
        <v>4</v>
      </c>
      <c r="NV9" s="5">
        <v>1</v>
      </c>
      <c r="NW9" s="47">
        <v>1</v>
      </c>
      <c r="NX9" s="25">
        <f t="shared" si="124"/>
        <v>144</v>
      </c>
      <c r="NY9" s="25">
        <f t="shared" si="175"/>
        <v>324</v>
      </c>
      <c r="NZ9" s="47">
        <v>2</v>
      </c>
      <c r="OA9" s="25">
        <f t="shared" si="125"/>
        <v>64</v>
      </c>
      <c r="OB9" s="47">
        <v>8</v>
      </c>
      <c r="OC9" s="25">
        <f t="shared" si="126"/>
        <v>51200</v>
      </c>
      <c r="OD9" s="2">
        <v>4</v>
      </c>
      <c r="OE9" s="25">
        <f t="shared" si="176"/>
        <v>0</v>
      </c>
      <c r="OF9" s="33" t="str">
        <f t="shared" si="127"/>
        <v>16h 0m</v>
      </c>
      <c r="OG9" s="46">
        <v>2</v>
      </c>
      <c r="OH9" s="25">
        <f t="shared" si="128"/>
        <v>57600</v>
      </c>
      <c r="OI9" s="7"/>
      <c r="OJ9" s="8">
        <f t="shared" si="177"/>
        <v>4</v>
      </c>
      <c r="OK9" s="5">
        <v>1</v>
      </c>
      <c r="OL9" s="47">
        <v>1</v>
      </c>
      <c r="OM9" s="25">
        <f t="shared" si="129"/>
        <v>144</v>
      </c>
      <c r="ON9" s="25">
        <f t="shared" si="178"/>
        <v>324</v>
      </c>
      <c r="OO9" s="47">
        <v>2</v>
      </c>
      <c r="OP9" s="25">
        <f t="shared" si="130"/>
        <v>64</v>
      </c>
      <c r="OQ9" s="47">
        <v>10</v>
      </c>
      <c r="OR9" s="25">
        <f t="shared" si="131"/>
        <v>64000</v>
      </c>
      <c r="OS9" s="2">
        <v>4</v>
      </c>
      <c r="OT9" s="25">
        <f t="shared" si="179"/>
        <v>0</v>
      </c>
      <c r="OU9" s="33" t="str">
        <f t="shared" si="132"/>
        <v>1d 7h 56m</v>
      </c>
      <c r="OV9" s="46">
        <v>4</v>
      </c>
      <c r="OW9" s="25">
        <f t="shared" si="133"/>
        <v>115000</v>
      </c>
      <c r="OX9" s="82">
        <f t="shared" si="194"/>
        <v>0.59999999999999987</v>
      </c>
      <c r="OY9" s="82">
        <v>0.5</v>
      </c>
      <c r="OZ9" s="78" t="str">
        <f t="shared" si="191"/>
        <v>5h 0m</v>
      </c>
      <c r="PA9" s="25">
        <v>18000</v>
      </c>
      <c r="PB9" s="47">
        <v>2</v>
      </c>
      <c r="PC9" s="25">
        <f>baseBetterNumbers(DD9*PB9)</f>
        <v>12800</v>
      </c>
      <c r="PD9" s="82">
        <f t="shared" si="195"/>
        <v>0.65000000000000013</v>
      </c>
      <c r="PE9" s="82">
        <v>0.05</v>
      </c>
      <c r="PF9" s="25">
        <v>0</v>
      </c>
      <c r="PG9" s="78" t="str">
        <f t="shared" si="192"/>
        <v>20h 0m</v>
      </c>
      <c r="PH9" s="25">
        <f t="shared" si="193"/>
        <v>72000</v>
      </c>
      <c r="PI9" s="47">
        <v>10</v>
      </c>
      <c r="PJ9" s="25">
        <f>baseBetterNumbers(DD9*PI9)</f>
        <v>64000</v>
      </c>
      <c r="PK9" s="82">
        <v>1</v>
      </c>
      <c r="PL9" s="82">
        <f t="shared" si="196"/>
        <v>0.39999999999999997</v>
      </c>
      <c r="PM9" s="82">
        <f>PM8+0.025</f>
        <v>7.5000000000000011E-2</v>
      </c>
      <c r="PN9" s="25"/>
      <c r="PO9" s="8">
        <v>0</v>
      </c>
      <c r="PP9" s="8">
        <v>0</v>
      </c>
      <c r="PQ9" s="8"/>
      <c r="PR9" s="25">
        <f>IF(PP9,cio2StepsChangesX(PR8,BZ9,Conf!BM$40,Conf!BM$41,Conf!BN$39,Conf!BN$40,Conf!BN$41),PR8)</f>
        <v>0</v>
      </c>
      <c r="PS9" s="25">
        <f t="shared" si="180"/>
        <v>0</v>
      </c>
      <c r="PT9" s="25"/>
      <c r="PU9" s="3">
        <f>IF(PP9,cio2StepsChangesX(PU8,PO9,Conf!BM$46,Conf!BM$47,Conf!BN$45,Conf!BN$46,Conf!BN$47),PU8)</f>
        <v>0</v>
      </c>
      <c r="PV9" s="3"/>
      <c r="PW9" s="3">
        <f>IF(PP9,cio2StepsChangesX(PW8,PO9,Conf!BY$18,Conf!BY$19,Conf!BZ$17,Conf!BZ$18,Conf!BZ$19),PW8)</f>
        <v>0</v>
      </c>
      <c r="PX9" s="20"/>
      <c r="PY9" s="3">
        <v>0</v>
      </c>
      <c r="PZ9" s="33" t="str">
        <f t="shared" si="189"/>
        <v>0h 0m</v>
      </c>
      <c r="QA9" s="33"/>
      <c r="QB9" s="7">
        <f>cioUpTime(Conf!E$57,A9,PW9)</f>
        <v>0</v>
      </c>
    </row>
    <row r="10" spans="1:444">
      <c r="A10" s="23">
        <f t="shared" si="134"/>
        <v>8</v>
      </c>
      <c r="B10" s="5">
        <v>1</v>
      </c>
      <c r="C10" s="47">
        <v>0</v>
      </c>
      <c r="D10" s="25">
        <f>IF(B10,baseBetterNumbers(C10*$CY10),IF(A10-1,D9,0))</f>
        <v>0</v>
      </c>
      <c r="E10" s="25">
        <f t="shared" si="135"/>
        <v>0</v>
      </c>
      <c r="F10" s="47">
        <v>1</v>
      </c>
      <c r="G10" s="25">
        <f>IF(B10,baseBetterNumbers(F10*$DB10),IF(A10-1,G9,0))</f>
        <v>48</v>
      </c>
      <c r="H10" s="47">
        <v>4</v>
      </c>
      <c r="I10" s="25">
        <f>IF(B10,baseBetterNumbers(H10*$DD10),IF(A10-1,I9,0))</f>
        <v>51200</v>
      </c>
      <c r="J10" s="2">
        <v>3</v>
      </c>
      <c r="K10" s="25">
        <f>IF(B10,baseBetterNumbers(J10*$DG10),IF(A10-1,K9,0))</f>
        <v>15400</v>
      </c>
      <c r="L10" s="33" t="str">
        <f t="shared" si="11"/>
        <v>16h 0m</v>
      </c>
      <c r="M10" s="46">
        <v>1</v>
      </c>
      <c r="N10" s="25">
        <f>IF(B10,baseBetterNumbers(M10*$DK10),IF(A10-1,N9,0))</f>
        <v>57600</v>
      </c>
      <c r="O10" s="7">
        <f t="shared" si="136"/>
        <v>0.5</v>
      </c>
      <c r="P10" s="3">
        <f>baseBetterNumbers(O10*EC10)</f>
        <v>69000</v>
      </c>
      <c r="Q10" s="3">
        <f>baseBetterNumbers(O10*FN10)</f>
        <v>69000</v>
      </c>
      <c r="R10" s="3">
        <f>baseBetterNumbers(O10*GY10)</f>
        <v>55500</v>
      </c>
      <c r="S10" s="3">
        <v>40</v>
      </c>
      <c r="T10" s="38">
        <v>4.4999999999999997E-3</v>
      </c>
      <c r="U10" s="38">
        <v>4.0000000000000002E-4</v>
      </c>
      <c r="V10" s="38">
        <v>4.0000000000000002E-4</v>
      </c>
      <c r="W10" s="38">
        <v>4.0000000000000002E-4</v>
      </c>
      <c r="X10" s="3">
        <v>1</v>
      </c>
      <c r="Y10" s="3"/>
      <c r="Z10" s="3"/>
      <c r="AA10" s="3"/>
      <c r="AB10" s="3"/>
      <c r="AC10" s="3"/>
      <c r="AD10" s="3" t="e">
        <f>-AC10+E10+AJ10*DR10+AL10*EI10+AN10*FC10+AP10*FT10+AR10*GN10+AT10*HE10+AV10*HY10+AX10*IO10+AZ10*JG10+BD10*KK10+BF10*KZ10+BH10*LO10+BJ10*MD10+BL10*MS10+BP10*NH10+BR10*NY10+BT10*ON10+BV10*#REF!+BX10*#REF!+BZ10*PS10+#REF!*#REF!+#REF!*#REF!</f>
        <v>#REF!</v>
      </c>
      <c r="AE10" s="3" t="e">
        <f t="shared" si="137"/>
        <v>#REF!</v>
      </c>
      <c r="AF10" s="3"/>
      <c r="AG10" s="3" t="e">
        <f>SUM(AI3:AI10)</f>
        <v>#REF!</v>
      </c>
      <c r="AH10" s="3">
        <f t="shared" si="12"/>
        <v>5</v>
      </c>
      <c r="AI10" s="3" t="e">
        <f>AK10+AM10+AO10+AQ10+AS10+AU10+AW10+AY10+BA10+BE10+BG10+BI10+BK10+BM10+BO10+BQ10+BS10+BU10+BW10+BY10+CA10+#REF!+#REF!</f>
        <v>#REF!</v>
      </c>
      <c r="AJ10" s="3">
        <f>SUM(AK3:AK10)</f>
        <v>3</v>
      </c>
      <c r="AK10" s="3">
        <v>1</v>
      </c>
      <c r="AL10" s="3">
        <f>SUM(AM3:AM10)</f>
        <v>4</v>
      </c>
      <c r="AM10" s="3"/>
      <c r="AN10" s="3">
        <f>SUM(AO3:AO10)</f>
        <v>2</v>
      </c>
      <c r="AO10" s="3"/>
      <c r="AP10" s="3">
        <f>SUM(AQ3:AQ10)</f>
        <v>4</v>
      </c>
      <c r="AQ10" s="3">
        <v>1</v>
      </c>
      <c r="AR10" s="3">
        <f>SUM(AS3:AS10)</f>
        <v>1</v>
      </c>
      <c r="AS10" s="3"/>
      <c r="AT10" s="3">
        <f>SUM(AU3:AU10)</f>
        <v>1</v>
      </c>
      <c r="AU10" s="3"/>
      <c r="AV10" s="3">
        <f>SUM(AW3:AW10)</f>
        <v>3</v>
      </c>
      <c r="AW10" s="3"/>
      <c r="AX10" s="3">
        <f>SUM(AY3:AY10)</f>
        <v>1</v>
      </c>
      <c r="AY10" s="3"/>
      <c r="AZ10" s="3">
        <f>SUM(BA3:BA10)</f>
        <v>1</v>
      </c>
      <c r="BA10" s="3"/>
      <c r="BB10" s="3">
        <f>SUM(BC3:BC10)</f>
        <v>12</v>
      </c>
      <c r="BC10" s="3">
        <v>1</v>
      </c>
      <c r="BD10" s="3">
        <f>SUM(BE3:BE10)</f>
        <v>4</v>
      </c>
      <c r="BE10" s="3"/>
      <c r="BF10" s="3">
        <f>SUM(BG3:BG10)</f>
        <v>1</v>
      </c>
      <c r="BG10" s="24">
        <v>1</v>
      </c>
      <c r="BH10" s="3">
        <f>SUM(BI3:BI10)</f>
        <v>0</v>
      </c>
      <c r="BI10" s="3"/>
      <c r="BJ10" s="3">
        <f>SUM(BK3:BK10)</f>
        <v>0</v>
      </c>
      <c r="BK10" s="3"/>
      <c r="BL10" s="3">
        <f>SUM(BM3:BM10)</f>
        <v>2</v>
      </c>
      <c r="BM10" s="3"/>
      <c r="BN10" s="3">
        <f>SUM(BO3:BO10)</f>
        <v>1</v>
      </c>
      <c r="BO10" s="3"/>
      <c r="BP10" s="3">
        <f>SUM(BQ3:BQ10)</f>
        <v>3</v>
      </c>
      <c r="BQ10" s="3"/>
      <c r="BR10" s="3">
        <f>SUM(BS3:BS10)</f>
        <v>1</v>
      </c>
      <c r="BS10" s="3"/>
      <c r="BT10" s="3">
        <f>SUM(BU3:BU10)</f>
        <v>1</v>
      </c>
      <c r="BU10" s="3"/>
      <c r="BV10" s="3">
        <f>SUM(BW3:BW10)</f>
        <v>1</v>
      </c>
      <c r="BW10" s="3"/>
      <c r="BX10" s="3">
        <f>SUM(BY3:BY10)</f>
        <v>0</v>
      </c>
      <c r="BY10" s="3"/>
      <c r="BZ10" s="3">
        <f>SUM(CA3:CA10)</f>
        <v>0</v>
      </c>
      <c r="CA10" s="3"/>
      <c r="CC10" s="1">
        <f t="shared" si="0"/>
        <v>12960</v>
      </c>
      <c r="CD10" s="1">
        <f t="shared" si="1"/>
        <v>483000</v>
      </c>
      <c r="CE10" s="1">
        <f t="shared" si="2"/>
        <v>184400</v>
      </c>
      <c r="CF10" s="12">
        <f t="shared" si="3"/>
        <v>14.228395061728396</v>
      </c>
      <c r="CG10" s="12">
        <f t="shared" si="13"/>
        <v>2.6193058568329719</v>
      </c>
      <c r="CI10" s="1">
        <f t="shared" si="4"/>
        <v>12960</v>
      </c>
      <c r="CJ10" s="1">
        <f t="shared" si="5"/>
        <v>345000</v>
      </c>
      <c r="CK10" s="1">
        <f t="shared" si="6"/>
        <v>184400</v>
      </c>
      <c r="CL10" s="12">
        <f t="shared" si="14"/>
        <v>14.228395061728396</v>
      </c>
      <c r="CM10" s="12">
        <f t="shared" si="15"/>
        <v>1.8709327548806942</v>
      </c>
      <c r="CO10" s="1">
        <f t="shared" si="7"/>
        <v>2590</v>
      </c>
      <c r="CP10" s="1">
        <f t="shared" si="8"/>
        <v>166500</v>
      </c>
      <c r="CQ10" s="1">
        <f t="shared" si="9"/>
        <v>36900</v>
      </c>
      <c r="CR10" s="12">
        <f t="shared" si="16"/>
        <v>14.247104247104247</v>
      </c>
      <c r="CS10" s="12">
        <f t="shared" si="17"/>
        <v>4.5121951219512191</v>
      </c>
      <c r="CV10" s="8">
        <f t="shared" si="18"/>
        <v>8</v>
      </c>
      <c r="CW10" s="5">
        <v>1</v>
      </c>
      <c r="CX10" s="45">
        <f t="shared" si="197"/>
        <v>0.5</v>
      </c>
      <c r="CY10" s="25">
        <f t="shared" si="10"/>
        <v>288</v>
      </c>
      <c r="CZ10" s="25">
        <f t="shared" si="19"/>
        <v>641</v>
      </c>
      <c r="DA10" s="47">
        <f t="shared" si="181"/>
        <v>1.5</v>
      </c>
      <c r="DB10" s="3">
        <f t="shared" si="20"/>
        <v>48</v>
      </c>
      <c r="DC10" s="3">
        <f t="shared" si="182"/>
        <v>2</v>
      </c>
      <c r="DD10" s="3">
        <f t="shared" si="21"/>
        <v>12800</v>
      </c>
      <c r="DE10" s="20">
        <f t="shared" si="22"/>
        <v>3.7101449275362318E-2</v>
      </c>
      <c r="DF10" s="2">
        <v>0.4</v>
      </c>
      <c r="DG10" s="3">
        <f>baseBetterNumbers(DF10*DD10)</f>
        <v>5120</v>
      </c>
      <c r="DH10" s="20">
        <f t="shared" ref="DH10:DH17" si="198">DG10/$CP10</f>
        <v>3.075075075075075E-2</v>
      </c>
      <c r="DI10" s="33" t="str">
        <f t="shared" si="23"/>
        <v>16h 0m</v>
      </c>
      <c r="DJ10" s="46">
        <f t="shared" si="190"/>
        <v>2</v>
      </c>
      <c r="DK10" s="28">
        <f t="shared" si="24"/>
        <v>57600</v>
      </c>
      <c r="DN10" s="8">
        <f t="shared" si="139"/>
        <v>8</v>
      </c>
      <c r="DO10" s="5">
        <v>1</v>
      </c>
      <c r="DP10" s="47">
        <v>1</v>
      </c>
      <c r="DQ10" s="25">
        <f t="shared" si="25"/>
        <v>288</v>
      </c>
      <c r="DR10" s="25">
        <f t="shared" si="140"/>
        <v>641</v>
      </c>
      <c r="DS10" s="47">
        <v>1</v>
      </c>
      <c r="DT10" s="25">
        <f t="shared" si="26"/>
        <v>48</v>
      </c>
      <c r="DU10" s="47">
        <v>1</v>
      </c>
      <c r="DV10" s="25">
        <f t="shared" si="27"/>
        <v>12800</v>
      </c>
      <c r="DW10" s="2">
        <v>1</v>
      </c>
      <c r="DX10" s="25">
        <f t="shared" si="28"/>
        <v>5120</v>
      </c>
      <c r="DY10" s="33" t="str">
        <f t="shared" si="29"/>
        <v>16h 0m</v>
      </c>
      <c r="DZ10" s="46">
        <v>1</v>
      </c>
      <c r="EA10" s="25">
        <f t="shared" si="30"/>
        <v>57600</v>
      </c>
      <c r="EB10" s="45">
        <v>3</v>
      </c>
      <c r="EC10" s="1">
        <f t="shared" si="31"/>
        <v>138000</v>
      </c>
      <c r="ED10" s="3"/>
      <c r="EE10" s="8">
        <f t="shared" si="141"/>
        <v>8</v>
      </c>
      <c r="EF10" s="5">
        <v>1</v>
      </c>
      <c r="EG10" s="47">
        <v>1</v>
      </c>
      <c r="EH10" s="25">
        <f t="shared" si="32"/>
        <v>288</v>
      </c>
      <c r="EI10" s="25">
        <f t="shared" si="142"/>
        <v>641</v>
      </c>
      <c r="EJ10" s="47">
        <v>1</v>
      </c>
      <c r="EK10" s="25">
        <f t="shared" si="33"/>
        <v>48</v>
      </c>
      <c r="EL10" s="47">
        <v>0.5</v>
      </c>
      <c r="EM10" s="25">
        <f t="shared" si="34"/>
        <v>6400</v>
      </c>
      <c r="EN10" s="2">
        <v>1</v>
      </c>
      <c r="EO10" s="25">
        <f t="shared" si="35"/>
        <v>5120</v>
      </c>
      <c r="EP10" s="33" t="str">
        <f t="shared" si="36"/>
        <v>16h 0m</v>
      </c>
      <c r="EQ10" s="46">
        <v>1</v>
      </c>
      <c r="ER10" s="25">
        <f t="shared" si="37"/>
        <v>57600</v>
      </c>
      <c r="ES10" s="45">
        <v>1.2</v>
      </c>
      <c r="ET10" s="3">
        <f t="shared" si="38"/>
        <v>3240</v>
      </c>
      <c r="EU10" s="7">
        <v>1.8</v>
      </c>
      <c r="EV10" s="3">
        <f t="shared" si="39"/>
        <v>46100</v>
      </c>
      <c r="EW10" s="6" t="str">
        <f t="shared" si="40"/>
        <v>14h 13m</v>
      </c>
      <c r="EY10" s="8">
        <f t="shared" si="143"/>
        <v>8</v>
      </c>
      <c r="EZ10" s="5">
        <v>1</v>
      </c>
      <c r="FA10" s="47">
        <v>1</v>
      </c>
      <c r="FB10" s="25">
        <f t="shared" si="41"/>
        <v>288</v>
      </c>
      <c r="FC10" s="25">
        <f t="shared" si="144"/>
        <v>641</v>
      </c>
      <c r="FD10" s="47">
        <v>1</v>
      </c>
      <c r="FE10" s="25">
        <f t="shared" si="42"/>
        <v>48</v>
      </c>
      <c r="FF10" s="47">
        <v>1</v>
      </c>
      <c r="FG10" s="25">
        <f t="shared" si="43"/>
        <v>12800</v>
      </c>
      <c r="FH10" s="2">
        <v>1</v>
      </c>
      <c r="FI10" s="25">
        <f t="shared" si="44"/>
        <v>5120</v>
      </c>
      <c r="FJ10" s="33" t="str">
        <f t="shared" si="45"/>
        <v>16h 0m</v>
      </c>
      <c r="FK10" s="46">
        <v>1</v>
      </c>
      <c r="FL10" s="25">
        <f t="shared" si="46"/>
        <v>57600</v>
      </c>
      <c r="FM10" s="45">
        <v>3</v>
      </c>
      <c r="FN10" s="1">
        <f t="shared" si="47"/>
        <v>138000</v>
      </c>
      <c r="FO10" s="3"/>
      <c r="FP10" s="8">
        <f t="shared" si="145"/>
        <v>8</v>
      </c>
      <c r="FQ10" s="5">
        <v>1</v>
      </c>
      <c r="FR10" s="47">
        <v>1</v>
      </c>
      <c r="FS10" s="25">
        <f t="shared" si="48"/>
        <v>288</v>
      </c>
      <c r="FT10" s="25">
        <f t="shared" si="146"/>
        <v>641</v>
      </c>
      <c r="FU10" s="47">
        <v>1</v>
      </c>
      <c r="FV10" s="25">
        <f t="shared" si="49"/>
        <v>48</v>
      </c>
      <c r="FW10" s="47">
        <v>0.5</v>
      </c>
      <c r="FX10" s="25">
        <f t="shared" si="50"/>
        <v>6400</v>
      </c>
      <c r="FY10" s="2">
        <v>1</v>
      </c>
      <c r="FZ10" s="25">
        <f t="shared" si="51"/>
        <v>5120</v>
      </c>
      <c r="GA10" s="33" t="str">
        <f t="shared" si="52"/>
        <v>16h 0m</v>
      </c>
      <c r="GB10" s="46">
        <v>1</v>
      </c>
      <c r="GC10" s="25">
        <f t="shared" si="53"/>
        <v>57600</v>
      </c>
      <c r="GD10" s="45">
        <v>1.2</v>
      </c>
      <c r="GE10" s="3">
        <f t="shared" si="54"/>
        <v>3240</v>
      </c>
      <c r="GF10" s="7">
        <v>1.8</v>
      </c>
      <c r="GG10" s="3">
        <f t="shared" si="55"/>
        <v>46100</v>
      </c>
      <c r="GH10" s="6" t="str">
        <f t="shared" si="56"/>
        <v>14h 13m</v>
      </c>
      <c r="GJ10" s="8">
        <f t="shared" si="147"/>
        <v>2</v>
      </c>
      <c r="GK10" s="5">
        <v>1</v>
      </c>
      <c r="GL10" s="47">
        <v>1</v>
      </c>
      <c r="GM10" s="25">
        <f t="shared" si="57"/>
        <v>288</v>
      </c>
      <c r="GN10" s="25">
        <f t="shared" si="148"/>
        <v>432</v>
      </c>
      <c r="GO10" s="47">
        <v>1</v>
      </c>
      <c r="GP10" s="25">
        <f t="shared" si="58"/>
        <v>48</v>
      </c>
      <c r="GQ10" s="47">
        <v>1.5</v>
      </c>
      <c r="GR10" s="25">
        <f t="shared" si="59"/>
        <v>19200</v>
      </c>
      <c r="GS10" s="2">
        <v>1</v>
      </c>
      <c r="GT10" s="25">
        <f t="shared" si="60"/>
        <v>5120</v>
      </c>
      <c r="GU10" s="33" t="str">
        <f t="shared" si="61"/>
        <v>16h 0m</v>
      </c>
      <c r="GV10" s="46">
        <v>1</v>
      </c>
      <c r="GW10" s="25">
        <f t="shared" si="62"/>
        <v>57600</v>
      </c>
      <c r="GX10" s="45">
        <v>3</v>
      </c>
      <c r="GY10" s="1">
        <f t="shared" si="63"/>
        <v>111000</v>
      </c>
      <c r="GZ10" s="3"/>
      <c r="HA10" s="8">
        <f t="shared" si="149"/>
        <v>2</v>
      </c>
      <c r="HB10" s="5">
        <v>1</v>
      </c>
      <c r="HC10" s="47">
        <v>1</v>
      </c>
      <c r="HD10" s="25">
        <f t="shared" si="64"/>
        <v>288</v>
      </c>
      <c r="HE10" s="25">
        <f t="shared" si="150"/>
        <v>432</v>
      </c>
      <c r="HF10" s="47">
        <v>1</v>
      </c>
      <c r="HG10" s="25">
        <f t="shared" si="65"/>
        <v>48</v>
      </c>
      <c r="HH10" s="47">
        <v>0.5</v>
      </c>
      <c r="HI10" s="25">
        <f t="shared" si="66"/>
        <v>6400</v>
      </c>
      <c r="HJ10" s="2">
        <v>1</v>
      </c>
      <c r="HK10" s="25">
        <f t="shared" si="67"/>
        <v>5120</v>
      </c>
      <c r="HL10" s="33" t="str">
        <f t="shared" si="68"/>
        <v>16h 0m</v>
      </c>
      <c r="HM10" s="46">
        <v>1</v>
      </c>
      <c r="HN10" s="25">
        <f t="shared" si="69"/>
        <v>57600</v>
      </c>
      <c r="HO10" s="45">
        <v>0.8</v>
      </c>
      <c r="HP10" s="3">
        <f t="shared" ref="HP10:HP17" si="199">baseBetterNumbers(HO10*GE10)</f>
        <v>2590</v>
      </c>
      <c r="HQ10" s="7">
        <v>0.8</v>
      </c>
      <c r="HR10" s="3">
        <f t="shared" ref="HR10:HR17" si="200">baseBetterNumbers(HQ10*GG10)</f>
        <v>36900</v>
      </c>
      <c r="HS10" s="6" t="str">
        <f t="shared" si="70"/>
        <v>14h 14m</v>
      </c>
      <c r="HU10" s="8">
        <f t="shared" si="151"/>
        <v>8</v>
      </c>
      <c r="HV10" s="5">
        <v>1</v>
      </c>
      <c r="HW10" s="47">
        <v>1</v>
      </c>
      <c r="HX10" s="25">
        <f t="shared" si="71"/>
        <v>288</v>
      </c>
      <c r="HY10" s="25">
        <f t="shared" si="152"/>
        <v>641</v>
      </c>
      <c r="HZ10" s="47">
        <v>2</v>
      </c>
      <c r="IA10" s="25">
        <f t="shared" si="72"/>
        <v>96</v>
      </c>
      <c r="IB10" s="47">
        <v>2.5</v>
      </c>
      <c r="IC10" s="25">
        <f t="shared" si="73"/>
        <v>32000</v>
      </c>
      <c r="ID10" s="2">
        <v>2.5</v>
      </c>
      <c r="IE10" s="25">
        <f t="shared" si="74"/>
        <v>12800</v>
      </c>
      <c r="IF10" s="33" t="str">
        <f t="shared" si="75"/>
        <v>2d 8h 6m</v>
      </c>
      <c r="IG10" s="46">
        <v>3.5</v>
      </c>
      <c r="IH10" s="25">
        <f t="shared" si="76"/>
        <v>202000</v>
      </c>
      <c r="IK10" s="8">
        <f t="shared" si="153"/>
        <v>4</v>
      </c>
      <c r="IL10" s="5">
        <v>1</v>
      </c>
      <c r="IM10" s="47">
        <v>1</v>
      </c>
      <c r="IN10" s="25">
        <f t="shared" si="77"/>
        <v>288</v>
      </c>
      <c r="IO10" s="25">
        <f t="shared" si="154"/>
        <v>576</v>
      </c>
      <c r="IP10" s="47">
        <v>3</v>
      </c>
      <c r="IQ10" s="25">
        <f t="shared" si="78"/>
        <v>144</v>
      </c>
      <c r="IR10" s="47">
        <v>8</v>
      </c>
      <c r="IS10" s="25">
        <f t="shared" si="79"/>
        <v>102000</v>
      </c>
      <c r="IT10" s="2">
        <v>4</v>
      </c>
      <c r="IU10" s="25">
        <f t="shared" si="80"/>
        <v>20500</v>
      </c>
      <c r="IV10" s="33" t="str">
        <f t="shared" si="81"/>
        <v>2d 8h 6m</v>
      </c>
      <c r="IW10" s="46">
        <v>3.5</v>
      </c>
      <c r="IX10" s="25">
        <f t="shared" si="82"/>
        <v>202000</v>
      </c>
      <c r="IY10" s="25">
        <v>9</v>
      </c>
      <c r="IZ10" s="25">
        <v>3</v>
      </c>
      <c r="JA10" s="25">
        <v>0</v>
      </c>
      <c r="JB10" s="7"/>
      <c r="JC10" s="8">
        <f t="shared" si="155"/>
        <v>3</v>
      </c>
      <c r="JD10" s="5">
        <v>1</v>
      </c>
      <c r="JE10" s="47">
        <v>1</v>
      </c>
      <c r="JF10" s="25">
        <f t="shared" si="83"/>
        <v>288</v>
      </c>
      <c r="JG10" s="25">
        <f t="shared" si="156"/>
        <v>504</v>
      </c>
      <c r="JH10" s="47">
        <v>0.5</v>
      </c>
      <c r="JI10" s="25">
        <f t="shared" si="84"/>
        <v>24</v>
      </c>
      <c r="JJ10" s="47">
        <v>2.5</v>
      </c>
      <c r="JK10" s="25">
        <f t="shared" si="85"/>
        <v>32000</v>
      </c>
      <c r="JL10" s="2">
        <v>2.5</v>
      </c>
      <c r="JM10" s="25">
        <f t="shared" si="86"/>
        <v>12800</v>
      </c>
      <c r="JN10" s="33" t="str">
        <f t="shared" si="87"/>
        <v>1d 0h 0m</v>
      </c>
      <c r="JO10" s="46">
        <v>1.5</v>
      </c>
      <c r="JP10" s="25">
        <f t="shared" si="88"/>
        <v>86400</v>
      </c>
      <c r="JQ10" s="7"/>
      <c r="JR10" s="8">
        <f t="shared" si="89"/>
        <v>1</v>
      </c>
      <c r="JS10" s="5">
        <v>0</v>
      </c>
      <c r="JT10" s="47">
        <v>1</v>
      </c>
      <c r="JU10" s="25">
        <f t="shared" si="90"/>
        <v>0</v>
      </c>
      <c r="JV10" s="25">
        <f t="shared" si="157"/>
        <v>0</v>
      </c>
      <c r="JW10" s="47">
        <v>1</v>
      </c>
      <c r="JX10" s="25">
        <f t="shared" si="91"/>
        <v>0</v>
      </c>
      <c r="JY10" s="47">
        <v>1.5</v>
      </c>
      <c r="JZ10" s="25">
        <f>IF(JS10,baseBetterNumbers(JY10*$DD10),IF(JR10-1,JZ9,0))</f>
        <v>0</v>
      </c>
      <c r="KA10" s="2">
        <v>1.5</v>
      </c>
      <c r="KB10" s="25">
        <f t="shared" si="92"/>
        <v>0</v>
      </c>
      <c r="KC10" s="33" t="str">
        <f t="shared" si="93"/>
        <v>0h 0m</v>
      </c>
      <c r="KD10" s="46">
        <v>1</v>
      </c>
      <c r="KE10" s="25">
        <f t="shared" si="94"/>
        <v>0</v>
      </c>
      <c r="KF10" s="7"/>
      <c r="KG10" s="8">
        <f t="shared" si="158"/>
        <v>8</v>
      </c>
      <c r="KH10" s="5">
        <v>1</v>
      </c>
      <c r="KI10" s="47">
        <v>1</v>
      </c>
      <c r="KJ10" s="25">
        <f t="shared" si="95"/>
        <v>288</v>
      </c>
      <c r="KK10" s="25">
        <f t="shared" si="159"/>
        <v>641</v>
      </c>
      <c r="KL10" s="47">
        <v>1</v>
      </c>
      <c r="KM10" s="25">
        <f t="shared" si="96"/>
        <v>48</v>
      </c>
      <c r="KN10" s="47">
        <v>1.5</v>
      </c>
      <c r="KO10" s="25">
        <f t="shared" si="97"/>
        <v>19200</v>
      </c>
      <c r="KP10" s="2">
        <v>1.5</v>
      </c>
      <c r="KQ10" s="25">
        <f t="shared" si="98"/>
        <v>7680</v>
      </c>
      <c r="KR10" s="33" t="str">
        <f t="shared" si="99"/>
        <v>16h 0m</v>
      </c>
      <c r="KS10" s="46">
        <v>1</v>
      </c>
      <c r="KT10" s="25">
        <f t="shared" si="100"/>
        <v>57600</v>
      </c>
      <c r="KU10" s="7"/>
      <c r="KV10" s="8">
        <f t="shared" si="160"/>
        <v>1</v>
      </c>
      <c r="KW10" s="5">
        <v>1</v>
      </c>
      <c r="KX10" s="47">
        <v>1</v>
      </c>
      <c r="KY10" s="25">
        <f t="shared" si="101"/>
        <v>288</v>
      </c>
      <c r="KZ10" s="25">
        <f t="shared" si="161"/>
        <v>288</v>
      </c>
      <c r="LA10" s="47">
        <v>1.5</v>
      </c>
      <c r="LB10" s="25">
        <f t="shared" si="102"/>
        <v>72</v>
      </c>
      <c r="LC10" s="47">
        <v>2.5</v>
      </c>
      <c r="LD10" s="25">
        <f t="shared" si="103"/>
        <v>32000</v>
      </c>
      <c r="LE10" s="2">
        <v>2.5</v>
      </c>
      <c r="LF10" s="25">
        <f t="shared" si="162"/>
        <v>12800</v>
      </c>
      <c r="LG10" s="33" t="str">
        <f t="shared" si="104"/>
        <v>16h 0m</v>
      </c>
      <c r="LH10" s="46">
        <v>1</v>
      </c>
      <c r="LI10" s="25">
        <f t="shared" si="105"/>
        <v>57600</v>
      </c>
      <c r="LJ10" s="7"/>
      <c r="LK10" s="8">
        <f t="shared" si="163"/>
        <v>0</v>
      </c>
      <c r="LL10" s="5">
        <v>0</v>
      </c>
      <c r="LM10" s="47">
        <v>1</v>
      </c>
      <c r="LN10" s="25">
        <f t="shared" si="106"/>
        <v>0</v>
      </c>
      <c r="LO10" s="25">
        <f t="shared" si="164"/>
        <v>0</v>
      </c>
      <c r="LP10" s="47">
        <v>1.5</v>
      </c>
      <c r="LQ10" s="25">
        <f t="shared" si="107"/>
        <v>0</v>
      </c>
      <c r="LR10" s="47">
        <v>2.5</v>
      </c>
      <c r="LS10" s="25">
        <f t="shared" si="108"/>
        <v>0</v>
      </c>
      <c r="LT10" s="2">
        <v>2.5</v>
      </c>
      <c r="LU10" s="25">
        <f t="shared" si="165"/>
        <v>0</v>
      </c>
      <c r="LV10" s="33" t="str">
        <f t="shared" si="109"/>
        <v>0h 0m</v>
      </c>
      <c r="LW10" s="46">
        <v>1</v>
      </c>
      <c r="LX10" s="25">
        <f t="shared" si="110"/>
        <v>0</v>
      </c>
      <c r="LY10" s="7"/>
      <c r="LZ10" s="8">
        <f t="shared" si="166"/>
        <v>0</v>
      </c>
      <c r="MA10" s="5">
        <v>0</v>
      </c>
      <c r="MB10" s="47">
        <v>1</v>
      </c>
      <c r="MC10" s="25">
        <f t="shared" si="111"/>
        <v>0</v>
      </c>
      <c r="MD10" s="25">
        <f t="shared" si="167"/>
        <v>0</v>
      </c>
      <c r="ME10" s="47">
        <v>1.5</v>
      </c>
      <c r="MF10" s="25">
        <f t="shared" si="112"/>
        <v>0</v>
      </c>
      <c r="MG10" s="47">
        <v>2.5</v>
      </c>
      <c r="MH10" s="25">
        <f t="shared" si="113"/>
        <v>0</v>
      </c>
      <c r="MI10" s="2">
        <v>2.5</v>
      </c>
      <c r="MJ10" s="25">
        <f t="shared" si="168"/>
        <v>0</v>
      </c>
      <c r="MK10" s="33" t="str">
        <f t="shared" si="114"/>
        <v>0h 0m</v>
      </c>
      <c r="ML10" s="46">
        <v>1</v>
      </c>
      <c r="MM10" s="25">
        <f t="shared" si="115"/>
        <v>0</v>
      </c>
      <c r="MN10" s="7"/>
      <c r="MO10" s="8">
        <f t="shared" si="169"/>
        <v>6</v>
      </c>
      <c r="MP10" s="5">
        <v>1</v>
      </c>
      <c r="MQ10" s="47">
        <v>1</v>
      </c>
      <c r="MR10" s="25">
        <f t="shared" si="116"/>
        <v>288</v>
      </c>
      <c r="MS10" s="25">
        <f t="shared" si="170"/>
        <v>630</v>
      </c>
      <c r="MT10" s="47">
        <v>1.5</v>
      </c>
      <c r="MU10" s="25">
        <f t="shared" si="117"/>
        <v>72</v>
      </c>
      <c r="MV10" s="47">
        <v>3</v>
      </c>
      <c r="MW10" s="25">
        <f t="shared" si="118"/>
        <v>38400</v>
      </c>
      <c r="MX10" s="2">
        <v>2.5</v>
      </c>
      <c r="MY10" s="25">
        <f t="shared" si="171"/>
        <v>12800</v>
      </c>
      <c r="MZ10" s="33" t="str">
        <f t="shared" si="119"/>
        <v>16h 0m</v>
      </c>
      <c r="NA10" s="46">
        <v>1</v>
      </c>
      <c r="NB10" s="25">
        <f t="shared" si="120"/>
        <v>57600</v>
      </c>
      <c r="NC10" s="7"/>
      <c r="ND10" s="8">
        <f t="shared" si="172"/>
        <v>7</v>
      </c>
      <c r="NE10" s="5">
        <v>1</v>
      </c>
      <c r="NF10" s="47">
        <v>1</v>
      </c>
      <c r="NG10" s="25">
        <f t="shared" si="121"/>
        <v>288</v>
      </c>
      <c r="NH10" s="25">
        <f t="shared" si="173"/>
        <v>639</v>
      </c>
      <c r="NI10" s="47">
        <v>3</v>
      </c>
      <c r="NJ10" s="25">
        <f>IF(NE10,baseBetterNumbers(NI10*$DD10),IF(ND10,NJ9,0))</f>
        <v>38400</v>
      </c>
      <c r="NK10" s="2">
        <v>2.5</v>
      </c>
      <c r="NL10" s="25">
        <f>IF(NE10,baseBetterNumbers(NK10*$DG10),IF(ND10-1,NL9,0))</f>
        <v>12800</v>
      </c>
      <c r="NM10" s="33" t="str">
        <f t="shared" si="122"/>
        <v>16h 0m</v>
      </c>
      <c r="NN10" s="46">
        <v>1</v>
      </c>
      <c r="NO10" s="25">
        <f>IF(NE10,baseBetterNumbers(NN10*$DK10),IF(ND10,NO9,0))</f>
        <v>57600</v>
      </c>
      <c r="NP10" s="47">
        <v>1.2</v>
      </c>
      <c r="NQ10" s="25">
        <f t="shared" si="188"/>
        <v>748.8</v>
      </c>
      <c r="NR10" s="1">
        <f t="shared" si="123"/>
        <v>2246.3999999999996</v>
      </c>
      <c r="NS10" s="1" t="e">
        <f>G10+AJ10*DT10+AL10*EK10+AN10*FE10+AP10*FV10+AR10*GP10+AT10*HG10+AV10*IA10+AX10*IQ10+AZ10*JI10+BD10*KM10+BF10*LB10+BH10*LQ10+BJ10*MF10+BL10*MU10+BR10*OA10+BT10*OP10+BV10*#REF!+BX10*#REF!+BZ10*PU10+#REF!*#REF!+#REF!*#REF!</f>
        <v>#REF!</v>
      </c>
      <c r="NU10" s="8">
        <f t="shared" si="174"/>
        <v>5</v>
      </c>
      <c r="NV10" s="5">
        <v>1</v>
      </c>
      <c r="NW10" s="47">
        <v>1</v>
      </c>
      <c r="NX10" s="25">
        <f t="shared" si="124"/>
        <v>288</v>
      </c>
      <c r="NY10" s="25">
        <f t="shared" si="175"/>
        <v>612</v>
      </c>
      <c r="NZ10" s="47">
        <v>2</v>
      </c>
      <c r="OA10" s="25">
        <f t="shared" si="125"/>
        <v>96</v>
      </c>
      <c r="OB10" s="47">
        <v>8</v>
      </c>
      <c r="OC10" s="25">
        <f t="shared" si="126"/>
        <v>102000</v>
      </c>
      <c r="OD10" s="2">
        <v>4</v>
      </c>
      <c r="OE10" s="25">
        <f t="shared" si="176"/>
        <v>20500</v>
      </c>
      <c r="OF10" s="33" t="str">
        <f t="shared" si="127"/>
        <v>1d 7h 56m</v>
      </c>
      <c r="OG10" s="46">
        <v>2</v>
      </c>
      <c r="OH10" s="25">
        <f t="shared" si="128"/>
        <v>115000</v>
      </c>
      <c r="OI10" s="7"/>
      <c r="OJ10" s="8">
        <f t="shared" si="177"/>
        <v>5</v>
      </c>
      <c r="OK10" s="5">
        <v>1</v>
      </c>
      <c r="OL10" s="47">
        <v>1</v>
      </c>
      <c r="OM10" s="25">
        <f t="shared" si="129"/>
        <v>288</v>
      </c>
      <c r="ON10" s="25">
        <f t="shared" si="178"/>
        <v>612</v>
      </c>
      <c r="OO10" s="47">
        <v>2</v>
      </c>
      <c r="OP10" s="25">
        <f t="shared" si="130"/>
        <v>96</v>
      </c>
      <c r="OQ10" s="47">
        <v>10</v>
      </c>
      <c r="OR10" s="25">
        <f t="shared" si="131"/>
        <v>128000</v>
      </c>
      <c r="OS10" s="2">
        <v>4</v>
      </c>
      <c r="OT10" s="25">
        <f t="shared" si="179"/>
        <v>20500</v>
      </c>
      <c r="OU10" s="33" t="str">
        <f t="shared" si="132"/>
        <v>2d 15h 53m</v>
      </c>
      <c r="OV10" s="46">
        <v>4</v>
      </c>
      <c r="OW10" s="25">
        <f t="shared" si="133"/>
        <v>230000</v>
      </c>
      <c r="OX10" s="82">
        <f t="shared" si="194"/>
        <v>0.54999999999999982</v>
      </c>
      <c r="OY10" s="82">
        <v>0.5</v>
      </c>
      <c r="OZ10" s="78" t="str">
        <f t="shared" si="191"/>
        <v>5h 0m</v>
      </c>
      <c r="PA10" s="25">
        <v>18000</v>
      </c>
      <c r="PB10" s="47">
        <v>2</v>
      </c>
      <c r="PC10" s="25">
        <f>baseBetterNumbers(DD10*PB10)</f>
        <v>25600</v>
      </c>
      <c r="PD10" s="82">
        <f t="shared" si="195"/>
        <v>0.70000000000000018</v>
      </c>
      <c r="PE10" s="82">
        <f>PE9+0.025</f>
        <v>7.5000000000000011E-2</v>
      </c>
      <c r="PF10" s="25">
        <v>0</v>
      </c>
      <c r="PG10" s="78" t="str">
        <f t="shared" si="192"/>
        <v>20h 0m</v>
      </c>
      <c r="PH10" s="25">
        <f t="shared" si="193"/>
        <v>72000</v>
      </c>
      <c r="PI10" s="47">
        <v>10</v>
      </c>
      <c r="PJ10" s="25">
        <f>baseBetterNumbers(DD10*PI10)</f>
        <v>128000</v>
      </c>
      <c r="PK10" s="82">
        <v>1</v>
      </c>
      <c r="PL10" s="82">
        <f t="shared" si="196"/>
        <v>0.44999999999999996</v>
      </c>
      <c r="PM10" s="82">
        <f t="shared" ref="PM10:PM17" si="201">PM9+0.025</f>
        <v>0.1</v>
      </c>
      <c r="PN10" s="25"/>
      <c r="PO10" s="5">
        <v>0</v>
      </c>
      <c r="PP10" s="5">
        <v>0</v>
      </c>
      <c r="PQ10" s="5"/>
      <c r="PR10" s="25">
        <f>IF(PP10,cio2StepsChangesX(PR9,BZ10,Conf!BM$40,Conf!BM$41,Conf!BN$39,Conf!BN$40,Conf!BN$41),PR9)</f>
        <v>0</v>
      </c>
      <c r="PS10" s="25">
        <f t="shared" si="180"/>
        <v>0</v>
      </c>
      <c r="PT10" s="25"/>
      <c r="PU10" s="3">
        <f>IF(PP10,cio2StepsChangesX(PU9,PO10,Conf!BM$46,Conf!BM$47,Conf!BN$45,Conf!BN$46,Conf!BN$47),PU9)</f>
        <v>0</v>
      </c>
      <c r="PV10" s="3"/>
      <c r="PW10" s="3">
        <f>IF(PP10,cio2StepsChangesX(PW9,PO10,Conf!BY$18,Conf!BY$19,Conf!BZ$17,Conf!BZ$18,Conf!BZ$19),PW9)</f>
        <v>0</v>
      </c>
      <c r="PX10" s="20"/>
      <c r="PY10" s="3">
        <f>IF(PP10,cio2StepsChangesX(PY9,PO10,Conf!CA$18,Conf!CA$19,Conf!CB$17,Conf!CB$18,Conf!CB$19),PY9)</f>
        <v>0</v>
      </c>
      <c r="PZ10" s="33" t="str">
        <f t="shared" si="189"/>
        <v>0h 0m</v>
      </c>
      <c r="QA10" s="33"/>
      <c r="QB10" s="7">
        <f>cioUpTime(Conf!E$57,A10,PW10)</f>
        <v>0</v>
      </c>
    </row>
    <row r="11" spans="1:444">
      <c r="A11" s="23">
        <f t="shared" si="134"/>
        <v>9</v>
      </c>
      <c r="B11" s="8">
        <v>1</v>
      </c>
      <c r="C11" s="47">
        <v>0</v>
      </c>
      <c r="D11" s="25">
        <f>IF(B11,baseBetterNumbers(C11*$CY11),IF(A11-1,D10,0))</f>
        <v>0</v>
      </c>
      <c r="E11" s="25">
        <f t="shared" si="135"/>
        <v>0</v>
      </c>
      <c r="F11" s="47">
        <v>1</v>
      </c>
      <c r="G11" s="25">
        <f>IF(B11,baseBetterNumbers(F11*$DB11),IF(A11-1,G10,0))</f>
        <v>62</v>
      </c>
      <c r="H11" s="47">
        <v>4</v>
      </c>
      <c r="I11" s="25">
        <f>IF(B11,baseBetterNumbers(H11*$DD11),IF(A11-1,I10,0))</f>
        <v>102000</v>
      </c>
      <c r="J11" s="2">
        <v>3</v>
      </c>
      <c r="K11" s="25">
        <f>IF(B11,baseBetterNumbers(J11*$DG11),IF(A11-1,K10,0))</f>
        <v>30600</v>
      </c>
      <c r="L11" s="33" t="str">
        <f t="shared" si="11"/>
        <v>1d 7h 56m</v>
      </c>
      <c r="M11" s="46">
        <v>1</v>
      </c>
      <c r="N11" s="25">
        <f>IF(B11,baseBetterNumbers(M11*$DK11),IF(A11-1,N10,0))</f>
        <v>115000</v>
      </c>
      <c r="O11" s="7">
        <f t="shared" si="136"/>
        <v>0.5</v>
      </c>
      <c r="P11" s="3">
        <f>baseBetterNumbers(O11*EC11)</f>
        <v>124000</v>
      </c>
      <c r="Q11" s="3">
        <f>baseBetterNumbers(O11*FN11)</f>
        <v>124000</v>
      </c>
      <c r="R11" s="3">
        <f>baseBetterNumbers(O11*GY11)</f>
        <v>99500</v>
      </c>
      <c r="S11" s="3">
        <v>40</v>
      </c>
      <c r="T11" s="38">
        <v>5.0000000000000001E-3</v>
      </c>
      <c r="U11" s="38">
        <v>4.4999999999999999E-4</v>
      </c>
      <c r="V11" s="38">
        <v>4.4999999999999999E-4</v>
      </c>
      <c r="W11" s="38">
        <v>4.4999999999999999E-4</v>
      </c>
      <c r="X11" s="3">
        <v>1</v>
      </c>
      <c r="Y11" s="3"/>
      <c r="Z11" s="3"/>
      <c r="AA11" s="3"/>
      <c r="AB11" s="3"/>
      <c r="AC11" s="3"/>
      <c r="AD11" s="3" t="e">
        <f>-AC11+E11+AJ11*DR11+AL11*EI11+AN11*FC11+AP11*FT11+AR11*GN11+AT11*HE11+AV11*HY11+AX11*IO11+AZ11*JG11+BD11*KK11+BF11*KZ11+BH11*LO11+BJ11*MD11+BL11*MS11+BP11*NH11+BR11*NY11+BT11*ON11+BV11*#REF!+BX11*#REF!+BZ11*PS11+#REF!*#REF!+#REF!*#REF!</f>
        <v>#REF!</v>
      </c>
      <c r="AE11" s="3" t="e">
        <f t="shared" si="137"/>
        <v>#REF!</v>
      </c>
      <c r="AF11" s="3"/>
      <c r="AG11" s="3" t="e">
        <f>SUM(AI3:AI11)</f>
        <v>#REF!</v>
      </c>
      <c r="AH11" s="3">
        <f t="shared" si="12"/>
        <v>6</v>
      </c>
      <c r="AI11" s="3" t="e">
        <f>AK11+AM11+AO11+AQ11+AS11+AU11+AW11+AY11+BA11+BE11+BG11+BI11+BK11+BM11+BO11+BQ11+BS11+BU11+BW11+BY11+CA11+#REF!+#REF!</f>
        <v>#REF!</v>
      </c>
      <c r="AJ11" s="3">
        <f>SUM(AK3:AK11)</f>
        <v>3</v>
      </c>
      <c r="AK11" s="3"/>
      <c r="AL11" s="3">
        <f>SUM(AM3:AM11)</f>
        <v>4</v>
      </c>
      <c r="AM11" s="3"/>
      <c r="AN11" s="3">
        <f>SUM(AO3:AO11)</f>
        <v>2</v>
      </c>
      <c r="AO11" s="3"/>
      <c r="AP11" s="3">
        <f>SUM(AQ3:AQ11)</f>
        <v>4</v>
      </c>
      <c r="AQ11" s="3"/>
      <c r="AR11" s="3">
        <f>SUM(AS3:AS11)</f>
        <v>1</v>
      </c>
      <c r="AS11" s="3"/>
      <c r="AT11" s="3">
        <f>SUM(AU3:AU11)</f>
        <v>2</v>
      </c>
      <c r="AU11" s="3">
        <v>1</v>
      </c>
      <c r="AV11" s="3">
        <f>SUM(AW3:AW11)</f>
        <v>3</v>
      </c>
      <c r="AW11" s="3"/>
      <c r="AX11" s="3">
        <f>SUM(AY3:AY11)</f>
        <v>1</v>
      </c>
      <c r="AY11" s="3"/>
      <c r="AZ11" s="3">
        <f>SUM(BA3:BA11)</f>
        <v>1</v>
      </c>
      <c r="BA11" s="3"/>
      <c r="BB11" s="3">
        <f>SUM(BC3:BC11)</f>
        <v>13</v>
      </c>
      <c r="BC11" s="3">
        <v>1</v>
      </c>
      <c r="BD11" s="3">
        <f>SUM(BE3:BE11)</f>
        <v>4</v>
      </c>
      <c r="BE11" s="3"/>
      <c r="BF11" s="3">
        <f>SUM(BG3:BG11)</f>
        <v>1</v>
      </c>
      <c r="BG11" s="3"/>
      <c r="BH11" s="3">
        <f>SUM(BI3:BI11)</f>
        <v>0</v>
      </c>
      <c r="BI11" s="3"/>
      <c r="BJ11" s="3">
        <f>SUM(BK3:BK11)</f>
        <v>1</v>
      </c>
      <c r="BK11" s="24">
        <v>1</v>
      </c>
      <c r="BL11" s="3">
        <f>SUM(BM3:BM11)</f>
        <v>3</v>
      </c>
      <c r="BM11" s="3">
        <v>1</v>
      </c>
      <c r="BN11" s="3">
        <f>SUM(BO3:BO11)</f>
        <v>1</v>
      </c>
      <c r="BO11" s="3"/>
      <c r="BP11" s="3">
        <f>SUM(BQ3:BQ11)</f>
        <v>3</v>
      </c>
      <c r="BQ11" s="3"/>
      <c r="BR11" s="3">
        <f>SUM(BS3:BS11)</f>
        <v>1</v>
      </c>
      <c r="BS11" s="3"/>
      <c r="BT11" s="3">
        <f>SUM(BU3:BU11)</f>
        <v>1</v>
      </c>
      <c r="BU11" s="3"/>
      <c r="BV11" s="3">
        <f>SUM(BW3:BW11)</f>
        <v>1</v>
      </c>
      <c r="BW11" s="3"/>
      <c r="BX11" s="3">
        <f>SUM(BY3:BY11)</f>
        <v>0</v>
      </c>
      <c r="BY11" s="3"/>
      <c r="BZ11" s="3">
        <f>SUM(CA3:CA11)</f>
        <v>1</v>
      </c>
      <c r="CA11" s="24">
        <v>1</v>
      </c>
      <c r="CC11" s="1">
        <f t="shared" si="0"/>
        <v>15560</v>
      </c>
      <c r="CD11" s="1">
        <f t="shared" si="1"/>
        <v>871000</v>
      </c>
      <c r="CE11" s="1">
        <f t="shared" si="2"/>
        <v>332000</v>
      </c>
      <c r="CF11" s="12">
        <f t="shared" si="3"/>
        <v>21.336760925449873</v>
      </c>
      <c r="CG11" s="12">
        <f t="shared" si="13"/>
        <v>2.6234939759036147</v>
      </c>
      <c r="CI11" s="1">
        <f t="shared" si="4"/>
        <v>15560</v>
      </c>
      <c r="CJ11" s="1">
        <f t="shared" si="5"/>
        <v>622000</v>
      </c>
      <c r="CK11" s="1">
        <f t="shared" si="6"/>
        <v>332000</v>
      </c>
      <c r="CL11" s="12">
        <f t="shared" si="14"/>
        <v>21.336760925449873</v>
      </c>
      <c r="CM11" s="12">
        <f t="shared" si="15"/>
        <v>1.8734939759036144</v>
      </c>
      <c r="CO11" s="1">
        <f t="shared" si="7"/>
        <v>6220</v>
      </c>
      <c r="CP11" s="1">
        <f t="shared" si="8"/>
        <v>298500</v>
      </c>
      <c r="CQ11" s="1">
        <f t="shared" si="9"/>
        <v>132800</v>
      </c>
      <c r="CR11" s="12">
        <f t="shared" si="16"/>
        <v>21.35048231511254</v>
      </c>
      <c r="CS11" s="12">
        <f t="shared" si="17"/>
        <v>2.2477409638554215</v>
      </c>
      <c r="CV11" s="8">
        <f t="shared" si="18"/>
        <v>9</v>
      </c>
      <c r="CW11" s="8">
        <v>1</v>
      </c>
      <c r="CX11" s="45">
        <f t="shared" si="197"/>
        <v>0.5</v>
      </c>
      <c r="CY11" s="25">
        <f t="shared" si="10"/>
        <v>576</v>
      </c>
      <c r="CZ11" s="25">
        <f t="shared" si="19"/>
        <v>1217</v>
      </c>
      <c r="DA11" s="47">
        <v>1.3</v>
      </c>
      <c r="DB11" s="3">
        <f t="shared" si="20"/>
        <v>62</v>
      </c>
      <c r="DC11" s="3">
        <f t="shared" si="182"/>
        <v>2</v>
      </c>
      <c r="DD11" s="3">
        <f t="shared" si="21"/>
        <v>25600</v>
      </c>
      <c r="DE11" s="20">
        <f t="shared" si="22"/>
        <v>4.1157556270096464E-2</v>
      </c>
      <c r="DF11" s="2">
        <v>2</v>
      </c>
      <c r="DG11" s="3">
        <f t="shared" ref="DG11:DG15" si="202">IF(CW11,baseBetterNumbers(DG10*DF11),DG10)</f>
        <v>10200</v>
      </c>
      <c r="DH11" s="20">
        <f t="shared" si="198"/>
        <v>3.4170854271356785E-2</v>
      </c>
      <c r="DI11" s="33" t="str">
        <f t="shared" si="23"/>
        <v>1d 8h 0m</v>
      </c>
      <c r="DJ11" s="46">
        <f t="shared" si="190"/>
        <v>2</v>
      </c>
      <c r="DK11" s="28">
        <f t="shared" si="24"/>
        <v>115200</v>
      </c>
      <c r="DN11" s="8">
        <f t="shared" si="139"/>
        <v>9</v>
      </c>
      <c r="DO11" s="8">
        <v>1</v>
      </c>
      <c r="DP11" s="47">
        <v>1</v>
      </c>
      <c r="DQ11" s="25">
        <f t="shared" si="25"/>
        <v>576</v>
      </c>
      <c r="DR11" s="25">
        <f t="shared" si="140"/>
        <v>1217</v>
      </c>
      <c r="DS11" s="47">
        <v>1</v>
      </c>
      <c r="DT11" s="25">
        <f t="shared" si="26"/>
        <v>62</v>
      </c>
      <c r="DU11" s="47">
        <v>1</v>
      </c>
      <c r="DV11" s="25">
        <f t="shared" si="27"/>
        <v>25600</v>
      </c>
      <c r="DW11" s="2">
        <v>1</v>
      </c>
      <c r="DX11" s="25">
        <f t="shared" si="28"/>
        <v>10200</v>
      </c>
      <c r="DY11" s="33" t="str">
        <f t="shared" si="29"/>
        <v>1d 7h 56m</v>
      </c>
      <c r="DZ11" s="46">
        <v>1</v>
      </c>
      <c r="EA11" s="25">
        <f t="shared" si="30"/>
        <v>115000</v>
      </c>
      <c r="EB11" s="45">
        <v>3</v>
      </c>
      <c r="EC11" s="1">
        <f t="shared" si="31"/>
        <v>249000</v>
      </c>
      <c r="ED11" s="3"/>
      <c r="EE11" s="8">
        <f t="shared" si="141"/>
        <v>9</v>
      </c>
      <c r="EF11" s="8">
        <v>1</v>
      </c>
      <c r="EG11" s="47">
        <v>1</v>
      </c>
      <c r="EH11" s="25">
        <f t="shared" si="32"/>
        <v>576</v>
      </c>
      <c r="EI11" s="25">
        <f t="shared" si="142"/>
        <v>1217</v>
      </c>
      <c r="EJ11" s="47">
        <v>1</v>
      </c>
      <c r="EK11" s="25">
        <f t="shared" si="33"/>
        <v>62</v>
      </c>
      <c r="EL11" s="47">
        <v>0.5</v>
      </c>
      <c r="EM11" s="25">
        <f t="shared" si="34"/>
        <v>12800</v>
      </c>
      <c r="EN11" s="2">
        <v>1</v>
      </c>
      <c r="EO11" s="25">
        <f t="shared" si="35"/>
        <v>10200</v>
      </c>
      <c r="EP11" s="33" t="str">
        <f t="shared" si="36"/>
        <v>1d 7h 56m</v>
      </c>
      <c r="EQ11" s="46">
        <v>1</v>
      </c>
      <c r="ER11" s="25">
        <f t="shared" si="37"/>
        <v>115000</v>
      </c>
      <c r="ES11" s="45">
        <v>1.2</v>
      </c>
      <c r="ET11" s="3">
        <f t="shared" si="38"/>
        <v>3890</v>
      </c>
      <c r="EU11" s="7">
        <f t="shared" si="184"/>
        <v>1.8</v>
      </c>
      <c r="EV11" s="3">
        <f t="shared" si="39"/>
        <v>83000</v>
      </c>
      <c r="EW11" s="6" t="str">
        <f t="shared" si="40"/>
        <v>21h 20m</v>
      </c>
      <c r="EY11" s="8">
        <f t="shared" si="143"/>
        <v>9</v>
      </c>
      <c r="EZ11" s="8">
        <v>1</v>
      </c>
      <c r="FA11" s="47">
        <v>1</v>
      </c>
      <c r="FB11" s="25">
        <f t="shared" si="41"/>
        <v>576</v>
      </c>
      <c r="FC11" s="25">
        <f t="shared" si="144"/>
        <v>1217</v>
      </c>
      <c r="FD11" s="47">
        <v>1</v>
      </c>
      <c r="FE11" s="25">
        <f t="shared" si="42"/>
        <v>62</v>
      </c>
      <c r="FF11" s="47">
        <v>1</v>
      </c>
      <c r="FG11" s="25">
        <f t="shared" si="43"/>
        <v>25600</v>
      </c>
      <c r="FH11" s="2">
        <v>1</v>
      </c>
      <c r="FI11" s="25">
        <f t="shared" si="44"/>
        <v>10200</v>
      </c>
      <c r="FJ11" s="33" t="str">
        <f t="shared" si="45"/>
        <v>1d 7h 56m</v>
      </c>
      <c r="FK11" s="46">
        <v>1</v>
      </c>
      <c r="FL11" s="25">
        <f t="shared" si="46"/>
        <v>115000</v>
      </c>
      <c r="FM11" s="45">
        <v>3</v>
      </c>
      <c r="FN11" s="1">
        <f t="shared" si="47"/>
        <v>249000</v>
      </c>
      <c r="FO11" s="3"/>
      <c r="FP11" s="8">
        <f t="shared" si="145"/>
        <v>9</v>
      </c>
      <c r="FQ11" s="8">
        <v>1</v>
      </c>
      <c r="FR11" s="47">
        <v>1</v>
      </c>
      <c r="FS11" s="25">
        <f t="shared" si="48"/>
        <v>576</v>
      </c>
      <c r="FT11" s="25">
        <f t="shared" si="146"/>
        <v>1217</v>
      </c>
      <c r="FU11" s="47">
        <v>1</v>
      </c>
      <c r="FV11" s="25">
        <f t="shared" si="49"/>
        <v>62</v>
      </c>
      <c r="FW11" s="47">
        <v>0.5</v>
      </c>
      <c r="FX11" s="25">
        <f t="shared" si="50"/>
        <v>12800</v>
      </c>
      <c r="FY11" s="2">
        <v>1</v>
      </c>
      <c r="FZ11" s="25">
        <f t="shared" si="51"/>
        <v>10200</v>
      </c>
      <c r="GA11" s="33" t="str">
        <f t="shared" si="52"/>
        <v>1d 7h 56m</v>
      </c>
      <c r="GB11" s="46">
        <v>1</v>
      </c>
      <c r="GC11" s="25">
        <f t="shared" si="53"/>
        <v>115000</v>
      </c>
      <c r="GD11" s="45">
        <v>1.2</v>
      </c>
      <c r="GE11" s="3">
        <f t="shared" si="54"/>
        <v>3890</v>
      </c>
      <c r="GF11" s="7">
        <f t="shared" ref="GF11:GF13" si="203">GF10</f>
        <v>1.8</v>
      </c>
      <c r="GG11" s="3">
        <f t="shared" si="55"/>
        <v>83000</v>
      </c>
      <c r="GH11" s="6" t="str">
        <f t="shared" si="56"/>
        <v>21h 20m</v>
      </c>
      <c r="GJ11" s="8">
        <f t="shared" si="147"/>
        <v>3</v>
      </c>
      <c r="GK11" s="8">
        <v>1</v>
      </c>
      <c r="GL11" s="47">
        <v>1</v>
      </c>
      <c r="GM11" s="25">
        <f t="shared" si="57"/>
        <v>576</v>
      </c>
      <c r="GN11" s="25">
        <f t="shared" si="148"/>
        <v>1008</v>
      </c>
      <c r="GO11" s="47">
        <v>1</v>
      </c>
      <c r="GP11" s="25">
        <f t="shared" si="58"/>
        <v>62</v>
      </c>
      <c r="GQ11" s="47">
        <v>1.5</v>
      </c>
      <c r="GR11" s="25">
        <f t="shared" si="59"/>
        <v>38400</v>
      </c>
      <c r="GS11" s="2">
        <v>1</v>
      </c>
      <c r="GT11" s="25">
        <f t="shared" si="60"/>
        <v>10200</v>
      </c>
      <c r="GU11" s="33" t="str">
        <f t="shared" si="61"/>
        <v>1d 7h 56m</v>
      </c>
      <c r="GV11" s="46">
        <v>1</v>
      </c>
      <c r="GW11" s="25">
        <f t="shared" si="62"/>
        <v>115000</v>
      </c>
      <c r="GX11" s="45">
        <v>3</v>
      </c>
      <c r="GY11" s="1">
        <f t="shared" si="63"/>
        <v>199000</v>
      </c>
      <c r="GZ11" s="3"/>
      <c r="HA11" s="8">
        <f t="shared" si="149"/>
        <v>3</v>
      </c>
      <c r="HB11" s="8">
        <v>1</v>
      </c>
      <c r="HC11" s="47">
        <v>1</v>
      </c>
      <c r="HD11" s="25">
        <f t="shared" si="64"/>
        <v>576</v>
      </c>
      <c r="HE11" s="25">
        <f t="shared" si="150"/>
        <v>1008</v>
      </c>
      <c r="HF11" s="47">
        <v>1</v>
      </c>
      <c r="HG11" s="25">
        <f t="shared" si="65"/>
        <v>62</v>
      </c>
      <c r="HH11" s="47">
        <v>0.5</v>
      </c>
      <c r="HI11" s="25">
        <f t="shared" si="66"/>
        <v>12800</v>
      </c>
      <c r="HJ11" s="2">
        <v>1</v>
      </c>
      <c r="HK11" s="25">
        <f t="shared" si="67"/>
        <v>10200</v>
      </c>
      <c r="HL11" s="33" t="str">
        <f t="shared" si="68"/>
        <v>1d 7h 56m</v>
      </c>
      <c r="HM11" s="46">
        <v>1</v>
      </c>
      <c r="HN11" s="25">
        <f t="shared" si="69"/>
        <v>115000</v>
      </c>
      <c r="HO11" s="45">
        <v>0.8</v>
      </c>
      <c r="HP11" s="3">
        <f t="shared" si="199"/>
        <v>3110</v>
      </c>
      <c r="HQ11" s="7">
        <v>0.8</v>
      </c>
      <c r="HR11" s="3">
        <f t="shared" si="200"/>
        <v>66400</v>
      </c>
      <c r="HS11" s="6" t="str">
        <f t="shared" si="70"/>
        <v>21h 21m</v>
      </c>
      <c r="HU11" s="8">
        <f t="shared" si="151"/>
        <v>9</v>
      </c>
      <c r="HV11" s="8">
        <v>1</v>
      </c>
      <c r="HW11" s="47">
        <v>1</v>
      </c>
      <c r="HX11" s="25">
        <f t="shared" si="71"/>
        <v>576</v>
      </c>
      <c r="HY11" s="25">
        <f t="shared" si="152"/>
        <v>1217</v>
      </c>
      <c r="HZ11" s="47">
        <v>2</v>
      </c>
      <c r="IA11" s="25">
        <f t="shared" si="72"/>
        <v>124</v>
      </c>
      <c r="IB11" s="47">
        <v>2.5</v>
      </c>
      <c r="IC11" s="25">
        <f t="shared" si="73"/>
        <v>64000</v>
      </c>
      <c r="ID11" s="2">
        <v>2.5</v>
      </c>
      <c r="IE11" s="25">
        <f t="shared" si="74"/>
        <v>25500</v>
      </c>
      <c r="IF11" s="33" t="str">
        <f t="shared" si="75"/>
        <v>4d 15h 56m</v>
      </c>
      <c r="IG11" s="46">
        <v>3.5</v>
      </c>
      <c r="IH11" s="25">
        <f t="shared" si="76"/>
        <v>403000</v>
      </c>
      <c r="IK11" s="8">
        <f t="shared" si="153"/>
        <v>5</v>
      </c>
      <c r="IL11" s="8">
        <v>1</v>
      </c>
      <c r="IM11" s="47">
        <v>1</v>
      </c>
      <c r="IN11" s="25">
        <f t="shared" si="77"/>
        <v>576</v>
      </c>
      <c r="IO11" s="25">
        <f t="shared" si="154"/>
        <v>1152</v>
      </c>
      <c r="IP11" s="47">
        <v>3</v>
      </c>
      <c r="IQ11" s="25">
        <f t="shared" si="78"/>
        <v>186</v>
      </c>
      <c r="IR11" s="47">
        <v>8</v>
      </c>
      <c r="IS11" s="25">
        <f t="shared" si="79"/>
        <v>205000</v>
      </c>
      <c r="IT11" s="2">
        <v>4</v>
      </c>
      <c r="IU11" s="25">
        <f t="shared" si="80"/>
        <v>40800</v>
      </c>
      <c r="IV11" s="33" t="str">
        <f t="shared" si="81"/>
        <v>4d 15h 56m</v>
      </c>
      <c r="IW11" s="46">
        <v>3.5</v>
      </c>
      <c r="IX11" s="25">
        <f t="shared" si="82"/>
        <v>403000</v>
      </c>
      <c r="IY11" s="25">
        <v>11</v>
      </c>
      <c r="IZ11" s="25">
        <v>5</v>
      </c>
      <c r="JA11" s="25">
        <v>0</v>
      </c>
      <c r="JB11" s="7"/>
      <c r="JC11" s="8">
        <f t="shared" si="155"/>
        <v>4</v>
      </c>
      <c r="JD11" s="8">
        <v>1</v>
      </c>
      <c r="JE11" s="47">
        <v>1</v>
      </c>
      <c r="JF11" s="25">
        <f t="shared" si="83"/>
        <v>576</v>
      </c>
      <c r="JG11" s="25">
        <f t="shared" si="156"/>
        <v>1080</v>
      </c>
      <c r="JH11" s="47">
        <v>0.5</v>
      </c>
      <c r="JI11" s="25">
        <f t="shared" si="84"/>
        <v>31</v>
      </c>
      <c r="JJ11" s="47">
        <v>2.5</v>
      </c>
      <c r="JK11" s="25">
        <f t="shared" si="85"/>
        <v>64000</v>
      </c>
      <c r="JL11" s="2">
        <v>2.5</v>
      </c>
      <c r="JM11" s="25">
        <f t="shared" si="86"/>
        <v>25500</v>
      </c>
      <c r="JN11" s="33" t="str">
        <f t="shared" si="87"/>
        <v>2d 0h 3m</v>
      </c>
      <c r="JO11" s="46">
        <v>1.5</v>
      </c>
      <c r="JP11" s="25">
        <f t="shared" si="88"/>
        <v>173000</v>
      </c>
      <c r="JQ11" s="7"/>
      <c r="JR11" s="8">
        <f t="shared" si="89"/>
        <v>1</v>
      </c>
      <c r="JS11" s="5">
        <v>0</v>
      </c>
      <c r="JT11" s="47">
        <v>1</v>
      </c>
      <c r="JU11" s="25">
        <f t="shared" si="90"/>
        <v>0</v>
      </c>
      <c r="JV11" s="25">
        <f t="shared" si="157"/>
        <v>0</v>
      </c>
      <c r="JW11" s="47">
        <v>1</v>
      </c>
      <c r="JX11" s="25">
        <f t="shared" si="91"/>
        <v>0</v>
      </c>
      <c r="JY11" s="47">
        <v>1.5</v>
      </c>
      <c r="JZ11" s="25">
        <f>IF(JS11,baseBetterNumbers(JY11*$DD11),IF(JR11-1,JZ10,0))</f>
        <v>0</v>
      </c>
      <c r="KA11" s="2">
        <v>1.5</v>
      </c>
      <c r="KB11" s="25">
        <f t="shared" si="92"/>
        <v>0</v>
      </c>
      <c r="KC11" s="33" t="str">
        <f t="shared" si="93"/>
        <v>0h 0m</v>
      </c>
      <c r="KD11" s="46">
        <v>1</v>
      </c>
      <c r="KE11" s="25">
        <f t="shared" si="94"/>
        <v>0</v>
      </c>
      <c r="KF11" s="7"/>
      <c r="KG11" s="8">
        <f t="shared" si="158"/>
        <v>9</v>
      </c>
      <c r="KH11" s="8">
        <v>1</v>
      </c>
      <c r="KI11" s="47">
        <v>1</v>
      </c>
      <c r="KJ11" s="25">
        <f t="shared" si="95"/>
        <v>576</v>
      </c>
      <c r="KK11" s="25">
        <f t="shared" si="159"/>
        <v>1217</v>
      </c>
      <c r="KL11" s="47">
        <v>1</v>
      </c>
      <c r="KM11" s="25">
        <f t="shared" si="96"/>
        <v>62</v>
      </c>
      <c r="KN11" s="47">
        <v>1.5</v>
      </c>
      <c r="KO11" s="25">
        <f t="shared" si="97"/>
        <v>38400</v>
      </c>
      <c r="KP11" s="2">
        <v>1.5</v>
      </c>
      <c r="KQ11" s="25">
        <f t="shared" si="98"/>
        <v>15300</v>
      </c>
      <c r="KR11" s="33" t="str">
        <f t="shared" si="99"/>
        <v>1d 7h 56m</v>
      </c>
      <c r="KS11" s="46">
        <v>1</v>
      </c>
      <c r="KT11" s="25">
        <f t="shared" si="100"/>
        <v>115000</v>
      </c>
      <c r="KU11" s="7"/>
      <c r="KV11" s="8">
        <f t="shared" si="160"/>
        <v>2</v>
      </c>
      <c r="KW11" s="8">
        <v>1</v>
      </c>
      <c r="KX11" s="47">
        <v>1</v>
      </c>
      <c r="KY11" s="25">
        <f t="shared" si="101"/>
        <v>576</v>
      </c>
      <c r="KZ11" s="25">
        <f t="shared" si="161"/>
        <v>864</v>
      </c>
      <c r="LA11" s="47">
        <v>1.5</v>
      </c>
      <c r="LB11" s="25">
        <f t="shared" si="102"/>
        <v>93</v>
      </c>
      <c r="LC11" s="47">
        <v>2.5</v>
      </c>
      <c r="LD11" s="25">
        <f t="shared" si="103"/>
        <v>64000</v>
      </c>
      <c r="LE11" s="2">
        <v>2.5</v>
      </c>
      <c r="LF11" s="25">
        <f t="shared" si="162"/>
        <v>25500</v>
      </c>
      <c r="LG11" s="33" t="str">
        <f t="shared" si="104"/>
        <v>1d 7h 56m</v>
      </c>
      <c r="LH11" s="46">
        <v>1</v>
      </c>
      <c r="LI11" s="25">
        <f t="shared" si="105"/>
        <v>115000</v>
      </c>
      <c r="LJ11" s="7"/>
      <c r="LK11" s="8">
        <f t="shared" si="163"/>
        <v>0</v>
      </c>
      <c r="LL11" s="5">
        <v>0</v>
      </c>
      <c r="LM11" s="47">
        <v>1</v>
      </c>
      <c r="LN11" s="25">
        <f t="shared" si="106"/>
        <v>0</v>
      </c>
      <c r="LO11" s="25">
        <f t="shared" si="164"/>
        <v>0</v>
      </c>
      <c r="LP11" s="47">
        <v>1.5</v>
      </c>
      <c r="LQ11" s="25">
        <f t="shared" si="107"/>
        <v>0</v>
      </c>
      <c r="LR11" s="47">
        <v>2.5</v>
      </c>
      <c r="LS11" s="25">
        <f t="shared" si="108"/>
        <v>0</v>
      </c>
      <c r="LT11" s="2">
        <v>2.5</v>
      </c>
      <c r="LU11" s="25">
        <f t="shared" si="165"/>
        <v>0</v>
      </c>
      <c r="LV11" s="33" t="str">
        <f t="shared" si="109"/>
        <v>0h 0m</v>
      </c>
      <c r="LW11" s="46">
        <v>1</v>
      </c>
      <c r="LX11" s="25">
        <f t="shared" si="110"/>
        <v>0</v>
      </c>
      <c r="LY11" s="7"/>
      <c r="LZ11" s="8">
        <f t="shared" si="166"/>
        <v>1</v>
      </c>
      <c r="MA11" s="5">
        <v>1</v>
      </c>
      <c r="MB11" s="47">
        <v>1</v>
      </c>
      <c r="MC11" s="25">
        <f t="shared" si="111"/>
        <v>576</v>
      </c>
      <c r="MD11" s="25">
        <f t="shared" si="167"/>
        <v>576</v>
      </c>
      <c r="ME11" s="47">
        <v>0.2</v>
      </c>
      <c r="MF11" s="25">
        <f t="shared" si="112"/>
        <v>12</v>
      </c>
      <c r="MG11" s="47">
        <v>3</v>
      </c>
      <c r="MH11" s="25">
        <f t="shared" si="113"/>
        <v>76800</v>
      </c>
      <c r="MI11" s="2">
        <v>3</v>
      </c>
      <c r="MJ11" s="25">
        <f t="shared" si="168"/>
        <v>30600</v>
      </c>
      <c r="MK11" s="33" t="str">
        <f t="shared" si="114"/>
        <v>2d 0h 3m</v>
      </c>
      <c r="ML11" s="46">
        <v>1.5</v>
      </c>
      <c r="MM11" s="25">
        <f t="shared" si="115"/>
        <v>173000</v>
      </c>
      <c r="MN11" s="7"/>
      <c r="MO11" s="8">
        <f t="shared" si="169"/>
        <v>7</v>
      </c>
      <c r="MP11" s="5">
        <v>1</v>
      </c>
      <c r="MQ11" s="47">
        <v>1</v>
      </c>
      <c r="MR11" s="25">
        <f t="shared" si="116"/>
        <v>576</v>
      </c>
      <c r="MS11" s="25">
        <f t="shared" si="170"/>
        <v>1206</v>
      </c>
      <c r="MT11" s="47">
        <v>1.5</v>
      </c>
      <c r="MU11" s="25">
        <f t="shared" si="117"/>
        <v>93</v>
      </c>
      <c r="MV11" s="47">
        <v>3</v>
      </c>
      <c r="MW11" s="25">
        <f t="shared" si="118"/>
        <v>76800</v>
      </c>
      <c r="MX11" s="2">
        <v>3</v>
      </c>
      <c r="MY11" s="25">
        <f t="shared" si="171"/>
        <v>30600</v>
      </c>
      <c r="MZ11" s="33" t="str">
        <f t="shared" si="119"/>
        <v>2d 0h 3m</v>
      </c>
      <c r="NA11" s="46">
        <v>1.5</v>
      </c>
      <c r="NB11" s="25">
        <f t="shared" si="120"/>
        <v>173000</v>
      </c>
      <c r="NC11" s="7"/>
      <c r="ND11" s="8">
        <f t="shared" si="172"/>
        <v>8</v>
      </c>
      <c r="NE11" s="5">
        <v>1</v>
      </c>
      <c r="NF11" s="47">
        <v>1</v>
      </c>
      <c r="NG11" s="25">
        <f t="shared" si="121"/>
        <v>576</v>
      </c>
      <c r="NH11" s="25">
        <f t="shared" si="173"/>
        <v>1215</v>
      </c>
      <c r="NI11" s="47">
        <v>3</v>
      </c>
      <c r="NJ11" s="25">
        <f>IF(NE11,baseBetterNumbers(NI11*$DD11),IF(ND11,NJ10,0))</f>
        <v>76800</v>
      </c>
      <c r="NK11" s="2">
        <v>3</v>
      </c>
      <c r="NL11" s="25">
        <f>IF(NE11,baseBetterNumbers(NK11*$DG11),IF(ND11-1,NL10,0))</f>
        <v>30600</v>
      </c>
      <c r="NM11" s="33" t="str">
        <f t="shared" si="122"/>
        <v>2d 0h 3m</v>
      </c>
      <c r="NN11" s="46">
        <v>1.5</v>
      </c>
      <c r="NO11" s="25">
        <f>IF(NE11,baseBetterNumbers(NN11*$DK11),IF(ND11,NO10,0))</f>
        <v>173000</v>
      </c>
      <c r="NP11" s="47">
        <v>1.2</v>
      </c>
      <c r="NQ11" s="25">
        <f t="shared" si="188"/>
        <v>898.56</v>
      </c>
      <c r="NR11" s="1">
        <f t="shared" si="123"/>
        <v>2695.68</v>
      </c>
      <c r="NS11" s="1" t="e">
        <f>G11+AJ11*DT11+AL11*EK11+AN11*FE11+AP11*FV11+AR11*GP11+AT11*HG11+AV11*IA11+AX11*IQ11+AZ11*JI11+BD11*KM11+BF11*LB11+BH11*LQ11+BJ11*MF11+BL11*MU11+BR11*OA11+BT11*OP11+BV11*#REF!+BX11*#REF!+BZ11*PU11+#REF!*#REF!+#REF!*#REF!</f>
        <v>#REF!</v>
      </c>
      <c r="NU11" s="8">
        <f t="shared" si="174"/>
        <v>6</v>
      </c>
      <c r="NV11" s="5">
        <v>1</v>
      </c>
      <c r="NW11" s="47">
        <v>1</v>
      </c>
      <c r="NX11" s="25">
        <f t="shared" si="124"/>
        <v>576</v>
      </c>
      <c r="NY11" s="25">
        <f t="shared" si="175"/>
        <v>1188</v>
      </c>
      <c r="NZ11" s="47">
        <v>2</v>
      </c>
      <c r="OA11" s="25">
        <f t="shared" si="125"/>
        <v>124</v>
      </c>
      <c r="OB11" s="47">
        <v>8</v>
      </c>
      <c r="OC11" s="25">
        <f t="shared" si="126"/>
        <v>205000</v>
      </c>
      <c r="OD11" s="2">
        <v>4</v>
      </c>
      <c r="OE11" s="25">
        <f t="shared" si="176"/>
        <v>40800</v>
      </c>
      <c r="OF11" s="33" t="str">
        <f t="shared" si="127"/>
        <v>2d 15h 53m</v>
      </c>
      <c r="OG11" s="46">
        <v>2</v>
      </c>
      <c r="OH11" s="25">
        <f t="shared" si="128"/>
        <v>230000</v>
      </c>
      <c r="OI11" s="7"/>
      <c r="OJ11" s="8">
        <f t="shared" si="177"/>
        <v>6</v>
      </c>
      <c r="OK11" s="5">
        <v>1</v>
      </c>
      <c r="OL11" s="47">
        <v>1</v>
      </c>
      <c r="OM11" s="25">
        <f t="shared" si="129"/>
        <v>576</v>
      </c>
      <c r="ON11" s="25">
        <f t="shared" si="178"/>
        <v>1188</v>
      </c>
      <c r="OO11" s="47">
        <v>2</v>
      </c>
      <c r="OP11" s="25">
        <f t="shared" si="130"/>
        <v>124</v>
      </c>
      <c r="OQ11" s="47">
        <v>10</v>
      </c>
      <c r="OR11" s="25">
        <f t="shared" si="131"/>
        <v>256000</v>
      </c>
      <c r="OS11" s="2">
        <v>4</v>
      </c>
      <c r="OT11" s="25">
        <f t="shared" si="179"/>
        <v>40800</v>
      </c>
      <c r="OU11" s="33" t="str">
        <f t="shared" si="132"/>
        <v>5d 8h 3m</v>
      </c>
      <c r="OV11" s="46">
        <v>4</v>
      </c>
      <c r="OW11" s="25">
        <f t="shared" si="133"/>
        <v>461000</v>
      </c>
      <c r="OX11" s="82">
        <f t="shared" si="194"/>
        <v>0.49999999999999983</v>
      </c>
      <c r="OY11" s="82">
        <v>0.5</v>
      </c>
      <c r="OZ11" s="78" t="str">
        <f t="shared" si="191"/>
        <v>5h 0m</v>
      </c>
      <c r="PA11" s="25">
        <v>18000</v>
      </c>
      <c r="PB11" s="47">
        <v>2</v>
      </c>
      <c r="PC11" s="25">
        <f>baseBetterNumbers(DD11*PB11)</f>
        <v>51200</v>
      </c>
      <c r="PD11" s="82">
        <f>PD10</f>
        <v>0.70000000000000018</v>
      </c>
      <c r="PE11" s="82">
        <f t="shared" ref="PE11:PE17" si="204">PE10+0.025</f>
        <v>0.1</v>
      </c>
      <c r="PF11" s="25">
        <v>0</v>
      </c>
      <c r="PG11" s="78" t="str">
        <f t="shared" si="192"/>
        <v>20h 0m</v>
      </c>
      <c r="PH11" s="25">
        <f t="shared" si="193"/>
        <v>72000</v>
      </c>
      <c r="PI11" s="47">
        <v>10</v>
      </c>
      <c r="PJ11" s="25">
        <f>baseBetterNumbers(DD11*PI11)</f>
        <v>256000</v>
      </c>
      <c r="PK11" s="82">
        <v>1</v>
      </c>
      <c r="PL11" s="82">
        <f t="shared" si="196"/>
        <v>0.49999999999999994</v>
      </c>
      <c r="PM11" s="82">
        <f t="shared" si="201"/>
        <v>0.125</v>
      </c>
      <c r="PN11" s="25"/>
      <c r="PO11" s="8">
        <f t="shared" ref="PO11" si="205">IF(PP11,PO10+1,PO10)</f>
        <v>1</v>
      </c>
      <c r="PP11" s="5">
        <v>1</v>
      </c>
      <c r="PQ11" s="47">
        <v>1</v>
      </c>
      <c r="PR11" s="25">
        <f t="shared" ref="PR11" si="206">IF(PP11,baseBetterNumbers(PQ11*$CY11),IF(PO11,PR10,0))</f>
        <v>576</v>
      </c>
      <c r="PS11" s="25">
        <f t="shared" si="180"/>
        <v>576</v>
      </c>
      <c r="PT11" s="47">
        <v>2</v>
      </c>
      <c r="PU11" s="25">
        <f t="shared" ref="PU11" si="207">IF(PP11,baseBetterNumbers(PT11*$DB11),IF(PO11,PU10,0))</f>
        <v>124</v>
      </c>
      <c r="PV11" s="47">
        <v>15</v>
      </c>
      <c r="PW11" s="25">
        <f t="shared" ref="PW11" si="208">IF(PP11,baseBetterNumbers(PV11*$DD11),IF(PO11,PW10,0))</f>
        <v>384000</v>
      </c>
      <c r="PX11" s="2">
        <v>6</v>
      </c>
      <c r="PY11" s="25">
        <f t="shared" ref="PY11" si="209">IF(PP11,baseBetterNumbers(PX11*$DG11),IF(PO11-1,PY10,0))</f>
        <v>61200</v>
      </c>
      <c r="PZ11" s="33" t="str">
        <f t="shared" si="189"/>
        <v>2d 15h 53m</v>
      </c>
      <c r="QA11" s="46">
        <v>2</v>
      </c>
      <c r="QB11" s="25">
        <f t="shared" ref="QB11" si="210">IF(PP11,baseBetterNumbers(QA11*$DK11),IF(PO11,QB10,0))</f>
        <v>230000</v>
      </c>
    </row>
    <row r="12" spans="1:444">
      <c r="A12" s="23">
        <f t="shared" si="134"/>
        <v>10</v>
      </c>
      <c r="B12" s="5">
        <v>1</v>
      </c>
      <c r="C12" s="47">
        <v>0</v>
      </c>
      <c r="D12" s="25">
        <f>IF(B12,baseBetterNumbers(C12*$CY12),IF(A12-1,D11,0))</f>
        <v>0</v>
      </c>
      <c r="E12" s="25">
        <f t="shared" si="135"/>
        <v>0</v>
      </c>
      <c r="F12" s="47">
        <v>1</v>
      </c>
      <c r="G12" s="25">
        <f>IF(B12,baseBetterNumbers(F12*$DB12),IF(A12-1,G11,0))</f>
        <v>81</v>
      </c>
      <c r="H12" s="47">
        <v>4</v>
      </c>
      <c r="I12" s="25">
        <f>IF(B12,baseBetterNumbers(H12*$DD12),IF(A12-1,I11,0))</f>
        <v>205000</v>
      </c>
      <c r="J12" s="2">
        <v>3</v>
      </c>
      <c r="K12" s="25">
        <f>IF(B12,baseBetterNumbers(J12*$DG12),IF(A12-1,K11,0))</f>
        <v>61200</v>
      </c>
      <c r="L12" s="33" t="str">
        <f t="shared" si="11"/>
        <v>2d 15h 53m</v>
      </c>
      <c r="M12" s="46">
        <v>1</v>
      </c>
      <c r="N12" s="25">
        <f>IF(B12,baseBetterNumbers(M12*$DK12),IF(A12-1,N11,0))</f>
        <v>230000</v>
      </c>
      <c r="O12" s="7">
        <f t="shared" si="136"/>
        <v>0.5</v>
      </c>
      <c r="P12" s="3">
        <f>baseBetterNumbers(O12*EC12)</f>
        <v>224000</v>
      </c>
      <c r="Q12" s="3">
        <f>baseBetterNumbers(O12*FN12)</f>
        <v>224000</v>
      </c>
      <c r="R12" s="3">
        <f>baseBetterNumbers(O12*GY12)</f>
        <v>178000</v>
      </c>
      <c r="S12" s="3">
        <v>40</v>
      </c>
      <c r="T12" s="38">
        <v>5.4999999999999997E-3</v>
      </c>
      <c r="U12" s="38">
        <v>5.0000000000000001E-4</v>
      </c>
      <c r="V12" s="38">
        <v>5.0000000000000001E-4</v>
      </c>
      <c r="W12" s="38">
        <v>5.0000000000000001E-4</v>
      </c>
      <c r="X12" s="3">
        <v>1</v>
      </c>
      <c r="Y12" s="3"/>
      <c r="Z12" s="3"/>
      <c r="AA12" s="3"/>
      <c r="AB12" s="3"/>
      <c r="AC12" s="3"/>
      <c r="AD12" s="3" t="e">
        <f>-AC12+E12+AJ12*DR12+AL12*EI12+AN12*FC12+AP12*FT12+AR12*GN12+AT12*HE12+AV12*HY12+AX12*IO12+AZ12*JG12+BD12*KK12+BF12*KZ12+BH12*LO12+BJ12*MD12+BL12*MS12+BP12*NH12+BR12*NY12+BT12*ON12+BV12*#REF!+BX12*#REF!+BZ12*PS12+#REF!*#REF!+#REF!*#REF!</f>
        <v>#REF!</v>
      </c>
      <c r="AE12" s="3" t="e">
        <f t="shared" si="137"/>
        <v>#REF!</v>
      </c>
      <c r="AF12" s="3"/>
      <c r="AG12" s="3" t="e">
        <f>SUM(AI3:AI12)</f>
        <v>#REF!</v>
      </c>
      <c r="AH12" s="3">
        <f t="shared" si="12"/>
        <v>7</v>
      </c>
      <c r="AI12" s="3" t="e">
        <f>AK12+AM12+AO12+AQ12+AS12+AU12+AW12+AY12+BA12+BE12+BG12+BI12+BK12+BM12+BO12+BQ12+BS12+BU12+BW12+BY12+CA12+#REF!+#REF!</f>
        <v>#REF!</v>
      </c>
      <c r="AJ12" s="3">
        <f>SUM(AK3:AK12)</f>
        <v>3</v>
      </c>
      <c r="AK12" s="3"/>
      <c r="AL12" s="3">
        <f>SUM(AM3:AM12)</f>
        <v>4</v>
      </c>
      <c r="AM12" s="3"/>
      <c r="AN12" s="3">
        <f>SUM(AO3:AO12)</f>
        <v>3</v>
      </c>
      <c r="AO12" s="3">
        <v>1</v>
      </c>
      <c r="AP12" s="3">
        <f>SUM(AQ3:AQ12)</f>
        <v>4</v>
      </c>
      <c r="AQ12" s="3"/>
      <c r="AR12" s="3">
        <f>SUM(AS3:AS12)</f>
        <v>2</v>
      </c>
      <c r="AS12" s="3">
        <v>1</v>
      </c>
      <c r="AT12" s="3">
        <f>SUM(AU3:AU12)</f>
        <v>2</v>
      </c>
      <c r="AU12" s="3"/>
      <c r="AV12" s="3">
        <f>SUM(AW3:AW12)</f>
        <v>3</v>
      </c>
      <c r="AW12" s="3"/>
      <c r="AX12" s="3">
        <f>SUM(AY3:AY12)</f>
        <v>1</v>
      </c>
      <c r="AY12" s="3"/>
      <c r="AZ12" s="3">
        <f>SUM(BA3:BA12)</f>
        <v>1</v>
      </c>
      <c r="BA12" s="3"/>
      <c r="BB12" s="3">
        <f>SUM(BC3:BC12)</f>
        <v>14</v>
      </c>
      <c r="BC12" s="3">
        <v>1</v>
      </c>
      <c r="BD12" s="3">
        <f>SUM(BE3:BE12)</f>
        <v>4</v>
      </c>
      <c r="BE12" s="3"/>
      <c r="BF12" s="3">
        <f>SUM(BG3:BG12)</f>
        <v>2</v>
      </c>
      <c r="BG12" s="3">
        <v>1</v>
      </c>
      <c r="BH12" s="3">
        <f>SUM(BI3:BI12)</f>
        <v>0</v>
      </c>
      <c r="BI12" s="3"/>
      <c r="BJ12" s="3">
        <f>SUM(BK3:BK12)</f>
        <v>1</v>
      </c>
      <c r="BK12" s="3"/>
      <c r="BL12" s="3">
        <f>SUM(BM3:BM12)</f>
        <v>3</v>
      </c>
      <c r="BM12" s="3"/>
      <c r="BN12" s="3">
        <f>SUM(BO3:BO12)</f>
        <v>1</v>
      </c>
      <c r="BO12" s="3"/>
      <c r="BP12" s="3">
        <f>SUM(BQ3:BQ12)</f>
        <v>4</v>
      </c>
      <c r="BQ12" s="3">
        <v>1</v>
      </c>
      <c r="BR12" s="3">
        <f>SUM(BS3:BS12)</f>
        <v>1</v>
      </c>
      <c r="BS12" s="3"/>
      <c r="BT12" s="3">
        <f>SUM(BU3:BU12)</f>
        <v>1</v>
      </c>
      <c r="BU12" s="3"/>
      <c r="BV12" s="3">
        <f>SUM(BW3:BW12)</f>
        <v>1</v>
      </c>
      <c r="BW12" s="3"/>
      <c r="BX12" s="3">
        <f>SUM(BY3:BY12)</f>
        <v>1</v>
      </c>
      <c r="BY12" s="24">
        <v>1</v>
      </c>
      <c r="BZ12" s="3">
        <f>SUM(CA3:CA12)</f>
        <v>1</v>
      </c>
      <c r="CA12" s="3"/>
      <c r="CC12" s="1">
        <f t="shared" si="0"/>
        <v>18680</v>
      </c>
      <c r="CD12" s="1">
        <f t="shared" si="1"/>
        <v>1565000</v>
      </c>
      <c r="CE12" s="1">
        <f t="shared" si="2"/>
        <v>596000</v>
      </c>
      <c r="CF12" s="12">
        <f t="shared" si="3"/>
        <v>31.905781584582442</v>
      </c>
      <c r="CG12" s="12">
        <f t="shared" si="13"/>
        <v>2.6258389261744965</v>
      </c>
      <c r="CI12" s="1">
        <f t="shared" si="4"/>
        <v>18680</v>
      </c>
      <c r="CJ12" s="1">
        <f t="shared" si="5"/>
        <v>1565000</v>
      </c>
      <c r="CK12" s="1">
        <f t="shared" si="6"/>
        <v>596000</v>
      </c>
      <c r="CL12" s="12">
        <f t="shared" si="14"/>
        <v>31.905781584582442</v>
      </c>
      <c r="CM12" s="12">
        <f t="shared" si="15"/>
        <v>2.6258389261744965</v>
      </c>
      <c r="CO12" s="1">
        <f t="shared" si="7"/>
        <v>7480</v>
      </c>
      <c r="CP12" s="1">
        <f t="shared" si="8"/>
        <v>892000</v>
      </c>
      <c r="CQ12" s="1">
        <f t="shared" si="9"/>
        <v>238000</v>
      </c>
      <c r="CR12" s="12">
        <f t="shared" si="16"/>
        <v>31.818181818181817</v>
      </c>
      <c r="CS12" s="12">
        <f t="shared" si="17"/>
        <v>3.7478991596638656</v>
      </c>
      <c r="CV12" s="8">
        <f t="shared" si="18"/>
        <v>10</v>
      </c>
      <c r="CW12" s="5">
        <v>1</v>
      </c>
      <c r="CX12" s="45">
        <v>0.25</v>
      </c>
      <c r="CY12" s="25">
        <f t="shared" si="10"/>
        <v>576</v>
      </c>
      <c r="CZ12" s="25">
        <f t="shared" si="19"/>
        <v>1793</v>
      </c>
      <c r="DA12" s="47">
        <f t="shared" ref="DA12:DA17" si="211">DA11</f>
        <v>1.3</v>
      </c>
      <c r="DB12" s="3">
        <f t="shared" si="20"/>
        <v>81</v>
      </c>
      <c r="DC12" s="3">
        <f t="shared" si="182"/>
        <v>2</v>
      </c>
      <c r="DD12" s="3">
        <f t="shared" si="21"/>
        <v>51200</v>
      </c>
      <c r="DE12" s="20">
        <f t="shared" si="22"/>
        <v>3.2715654952076678E-2</v>
      </c>
      <c r="DF12" s="2">
        <f t="shared" ref="DF12" si="212">DF11</f>
        <v>2</v>
      </c>
      <c r="DG12" s="3">
        <f t="shared" si="202"/>
        <v>20400</v>
      </c>
      <c r="DH12" s="20">
        <f t="shared" si="198"/>
        <v>2.2869955156950672E-2</v>
      </c>
      <c r="DI12" s="33" t="str">
        <f t="shared" si="23"/>
        <v>2d 16h 0m</v>
      </c>
      <c r="DJ12" s="46">
        <f t="shared" si="190"/>
        <v>2</v>
      </c>
      <c r="DK12" s="28">
        <f t="shared" si="24"/>
        <v>230400</v>
      </c>
      <c r="DN12" s="8">
        <f t="shared" si="139"/>
        <v>10</v>
      </c>
      <c r="DO12" s="5">
        <v>1</v>
      </c>
      <c r="DP12" s="47">
        <v>1</v>
      </c>
      <c r="DQ12" s="25">
        <f t="shared" si="25"/>
        <v>576</v>
      </c>
      <c r="DR12" s="25">
        <f t="shared" si="140"/>
        <v>1793</v>
      </c>
      <c r="DS12" s="47">
        <v>1</v>
      </c>
      <c r="DT12" s="25">
        <f t="shared" si="26"/>
        <v>81</v>
      </c>
      <c r="DU12" s="47">
        <v>1</v>
      </c>
      <c r="DV12" s="25">
        <f t="shared" si="27"/>
        <v>51200</v>
      </c>
      <c r="DW12" s="2">
        <v>1</v>
      </c>
      <c r="DX12" s="25">
        <f t="shared" si="28"/>
        <v>20400</v>
      </c>
      <c r="DY12" s="33" t="str">
        <f t="shared" si="29"/>
        <v>2d 15h 53m</v>
      </c>
      <c r="DZ12" s="46">
        <v>1</v>
      </c>
      <c r="EA12" s="25">
        <f t="shared" si="30"/>
        <v>230000</v>
      </c>
      <c r="EB12" s="45">
        <v>3</v>
      </c>
      <c r="EC12" s="1">
        <f t="shared" si="31"/>
        <v>447000</v>
      </c>
      <c r="ED12" s="3"/>
      <c r="EE12" s="8">
        <f t="shared" si="141"/>
        <v>10</v>
      </c>
      <c r="EF12" s="5">
        <v>1</v>
      </c>
      <c r="EG12" s="47">
        <v>1</v>
      </c>
      <c r="EH12" s="25">
        <f t="shared" si="32"/>
        <v>576</v>
      </c>
      <c r="EI12" s="25">
        <f t="shared" si="142"/>
        <v>1793</v>
      </c>
      <c r="EJ12" s="47">
        <v>1</v>
      </c>
      <c r="EK12" s="25">
        <f t="shared" si="33"/>
        <v>81</v>
      </c>
      <c r="EL12" s="47">
        <v>0.5</v>
      </c>
      <c r="EM12" s="25">
        <f t="shared" si="34"/>
        <v>25600</v>
      </c>
      <c r="EN12" s="2">
        <v>1</v>
      </c>
      <c r="EO12" s="25">
        <f t="shared" si="35"/>
        <v>20400</v>
      </c>
      <c r="EP12" s="33" t="str">
        <f t="shared" si="36"/>
        <v>2d 15h 53m</v>
      </c>
      <c r="EQ12" s="46">
        <v>1</v>
      </c>
      <c r="ER12" s="25">
        <f t="shared" si="37"/>
        <v>230000</v>
      </c>
      <c r="ES12" s="45">
        <f t="shared" si="183"/>
        <v>1.2</v>
      </c>
      <c r="ET12" s="3">
        <f t="shared" si="38"/>
        <v>4670</v>
      </c>
      <c r="EU12" s="7">
        <f t="shared" si="184"/>
        <v>1.8</v>
      </c>
      <c r="EV12" s="3">
        <f t="shared" si="39"/>
        <v>149000</v>
      </c>
      <c r="EW12" s="6" t="str">
        <f t="shared" si="40"/>
        <v>1d 7h 54m</v>
      </c>
      <c r="EY12" s="8">
        <f t="shared" si="143"/>
        <v>10</v>
      </c>
      <c r="EZ12" s="5">
        <v>1</v>
      </c>
      <c r="FA12" s="47">
        <v>1</v>
      </c>
      <c r="FB12" s="25">
        <f t="shared" si="41"/>
        <v>576</v>
      </c>
      <c r="FC12" s="25">
        <f t="shared" si="144"/>
        <v>1793</v>
      </c>
      <c r="FD12" s="47">
        <v>1</v>
      </c>
      <c r="FE12" s="25">
        <f t="shared" si="42"/>
        <v>81</v>
      </c>
      <c r="FF12" s="47">
        <v>1</v>
      </c>
      <c r="FG12" s="25">
        <f t="shared" si="43"/>
        <v>51200</v>
      </c>
      <c r="FH12" s="2">
        <v>1</v>
      </c>
      <c r="FI12" s="25">
        <f t="shared" si="44"/>
        <v>20400</v>
      </c>
      <c r="FJ12" s="33" t="str">
        <f t="shared" si="45"/>
        <v>2d 15h 53m</v>
      </c>
      <c r="FK12" s="46">
        <v>1</v>
      </c>
      <c r="FL12" s="25">
        <f t="shared" si="46"/>
        <v>230000</v>
      </c>
      <c r="FM12" s="45">
        <v>3</v>
      </c>
      <c r="FN12" s="1">
        <f t="shared" si="47"/>
        <v>447000</v>
      </c>
      <c r="FO12" s="3"/>
      <c r="FP12" s="8">
        <f t="shared" si="145"/>
        <v>10</v>
      </c>
      <c r="FQ12" s="5">
        <v>1</v>
      </c>
      <c r="FR12" s="47">
        <v>1</v>
      </c>
      <c r="FS12" s="25">
        <f t="shared" si="48"/>
        <v>576</v>
      </c>
      <c r="FT12" s="25">
        <f t="shared" si="146"/>
        <v>1793</v>
      </c>
      <c r="FU12" s="47">
        <v>1</v>
      </c>
      <c r="FV12" s="25">
        <f t="shared" si="49"/>
        <v>81</v>
      </c>
      <c r="FW12" s="47">
        <v>0.5</v>
      </c>
      <c r="FX12" s="25">
        <f t="shared" si="50"/>
        <v>25600</v>
      </c>
      <c r="FY12" s="2">
        <v>1</v>
      </c>
      <c r="FZ12" s="25">
        <f t="shared" si="51"/>
        <v>20400</v>
      </c>
      <c r="GA12" s="33" t="str">
        <f t="shared" si="52"/>
        <v>2d 15h 53m</v>
      </c>
      <c r="GB12" s="46">
        <v>1</v>
      </c>
      <c r="GC12" s="25">
        <f t="shared" si="53"/>
        <v>230000</v>
      </c>
      <c r="GD12" s="45">
        <f t="shared" si="185"/>
        <v>1.2</v>
      </c>
      <c r="GE12" s="3">
        <f t="shared" si="54"/>
        <v>4670</v>
      </c>
      <c r="GF12" s="7">
        <f t="shared" si="203"/>
        <v>1.8</v>
      </c>
      <c r="GG12" s="3">
        <f t="shared" si="55"/>
        <v>149000</v>
      </c>
      <c r="GH12" s="6" t="str">
        <f t="shared" si="56"/>
        <v>1d 7h 54m</v>
      </c>
      <c r="GJ12" s="8">
        <f t="shared" si="147"/>
        <v>4</v>
      </c>
      <c r="GK12" s="5">
        <v>1</v>
      </c>
      <c r="GL12" s="47">
        <v>1</v>
      </c>
      <c r="GM12" s="25">
        <f t="shared" si="57"/>
        <v>576</v>
      </c>
      <c r="GN12" s="25">
        <f t="shared" si="148"/>
        <v>1584</v>
      </c>
      <c r="GO12" s="47">
        <v>1</v>
      </c>
      <c r="GP12" s="25">
        <f t="shared" si="58"/>
        <v>81</v>
      </c>
      <c r="GQ12" s="47">
        <v>1.5</v>
      </c>
      <c r="GR12" s="25">
        <f t="shared" si="59"/>
        <v>76800</v>
      </c>
      <c r="GS12" s="2">
        <v>1</v>
      </c>
      <c r="GT12" s="25">
        <f t="shared" si="60"/>
        <v>20400</v>
      </c>
      <c r="GU12" s="33" t="str">
        <f t="shared" si="61"/>
        <v>2d 15h 53m</v>
      </c>
      <c r="GV12" s="46">
        <v>1</v>
      </c>
      <c r="GW12" s="25">
        <f t="shared" si="62"/>
        <v>230000</v>
      </c>
      <c r="GX12" s="45">
        <v>3</v>
      </c>
      <c r="GY12" s="1">
        <f t="shared" si="63"/>
        <v>357000</v>
      </c>
      <c r="GZ12" s="3"/>
      <c r="HA12" s="8">
        <f t="shared" si="149"/>
        <v>4</v>
      </c>
      <c r="HB12" s="5">
        <v>1</v>
      </c>
      <c r="HC12" s="47">
        <v>1</v>
      </c>
      <c r="HD12" s="25">
        <f t="shared" si="64"/>
        <v>576</v>
      </c>
      <c r="HE12" s="25">
        <f t="shared" si="150"/>
        <v>1584</v>
      </c>
      <c r="HF12" s="47">
        <v>1</v>
      </c>
      <c r="HG12" s="25">
        <f t="shared" si="65"/>
        <v>81</v>
      </c>
      <c r="HH12" s="47">
        <v>0.5</v>
      </c>
      <c r="HI12" s="25">
        <f t="shared" si="66"/>
        <v>25600</v>
      </c>
      <c r="HJ12" s="2">
        <v>1</v>
      </c>
      <c r="HK12" s="25">
        <f t="shared" si="67"/>
        <v>20400</v>
      </c>
      <c r="HL12" s="33" t="str">
        <f t="shared" si="68"/>
        <v>2d 15h 53m</v>
      </c>
      <c r="HM12" s="46">
        <v>1</v>
      </c>
      <c r="HN12" s="25">
        <f t="shared" si="69"/>
        <v>230000</v>
      </c>
      <c r="HO12" s="45">
        <v>0.8</v>
      </c>
      <c r="HP12" s="3">
        <f t="shared" si="199"/>
        <v>3740</v>
      </c>
      <c r="HQ12" s="7">
        <v>0.8</v>
      </c>
      <c r="HR12" s="3">
        <f t="shared" si="200"/>
        <v>119000</v>
      </c>
      <c r="HS12" s="6" t="str">
        <f t="shared" si="70"/>
        <v>1d 7h 49m</v>
      </c>
      <c r="HU12" s="8">
        <f t="shared" si="151"/>
        <v>10</v>
      </c>
      <c r="HV12" s="5">
        <v>1</v>
      </c>
      <c r="HW12" s="47">
        <v>1</v>
      </c>
      <c r="HX12" s="25">
        <f t="shared" si="71"/>
        <v>576</v>
      </c>
      <c r="HY12" s="25">
        <f t="shared" si="152"/>
        <v>1793</v>
      </c>
      <c r="HZ12" s="47">
        <v>2</v>
      </c>
      <c r="IA12" s="25">
        <f t="shared" si="72"/>
        <v>162</v>
      </c>
      <c r="IB12" s="47">
        <v>2.5</v>
      </c>
      <c r="IC12" s="25">
        <f t="shared" si="73"/>
        <v>128000</v>
      </c>
      <c r="ID12" s="2">
        <v>2.5</v>
      </c>
      <c r="IE12" s="25">
        <f t="shared" si="74"/>
        <v>51000</v>
      </c>
      <c r="IF12" s="33" t="str">
        <f t="shared" si="75"/>
        <v>6d 16h 0m</v>
      </c>
      <c r="IG12" s="46">
        <v>2.5</v>
      </c>
      <c r="IH12" s="25">
        <f t="shared" si="76"/>
        <v>576000</v>
      </c>
      <c r="IK12" s="8">
        <f t="shared" si="153"/>
        <v>6</v>
      </c>
      <c r="IL12" s="5">
        <v>1</v>
      </c>
      <c r="IM12" s="47">
        <v>1</v>
      </c>
      <c r="IN12" s="25">
        <f t="shared" si="77"/>
        <v>576</v>
      </c>
      <c r="IO12" s="25">
        <f t="shared" si="154"/>
        <v>1728</v>
      </c>
      <c r="IP12" s="47">
        <v>3</v>
      </c>
      <c r="IQ12" s="25">
        <f t="shared" si="78"/>
        <v>243</v>
      </c>
      <c r="IR12" s="47">
        <v>8</v>
      </c>
      <c r="IS12" s="25">
        <f t="shared" si="79"/>
        <v>410000</v>
      </c>
      <c r="IT12" s="2">
        <v>4</v>
      </c>
      <c r="IU12" s="25">
        <f t="shared" si="80"/>
        <v>81600</v>
      </c>
      <c r="IV12" s="33" t="str">
        <f t="shared" si="81"/>
        <v>6d 16h 0m</v>
      </c>
      <c r="IW12" s="46">
        <v>2.5</v>
      </c>
      <c r="IX12" s="25">
        <f t="shared" si="82"/>
        <v>576000</v>
      </c>
      <c r="IY12" s="25">
        <v>13</v>
      </c>
      <c r="IZ12" s="25">
        <v>7</v>
      </c>
      <c r="JA12" s="25">
        <v>0</v>
      </c>
      <c r="JB12" s="7"/>
      <c r="JC12" s="8">
        <f t="shared" si="155"/>
        <v>5</v>
      </c>
      <c r="JD12" s="5">
        <v>1</v>
      </c>
      <c r="JE12" s="47">
        <v>1</v>
      </c>
      <c r="JF12" s="25">
        <f t="shared" si="83"/>
        <v>576</v>
      </c>
      <c r="JG12" s="25">
        <f t="shared" si="156"/>
        <v>1656</v>
      </c>
      <c r="JH12" s="47">
        <v>0.5</v>
      </c>
      <c r="JI12" s="25">
        <f t="shared" si="84"/>
        <v>40</v>
      </c>
      <c r="JJ12" s="47">
        <v>2.5</v>
      </c>
      <c r="JK12" s="25">
        <f t="shared" si="85"/>
        <v>128000</v>
      </c>
      <c r="JL12" s="2">
        <v>2.5</v>
      </c>
      <c r="JM12" s="25">
        <f t="shared" si="86"/>
        <v>51000</v>
      </c>
      <c r="JN12" s="33" t="str">
        <f t="shared" si="87"/>
        <v>4d 0h 6m</v>
      </c>
      <c r="JO12" s="46">
        <v>1.5</v>
      </c>
      <c r="JP12" s="25">
        <f t="shared" si="88"/>
        <v>346000</v>
      </c>
      <c r="JQ12" s="7"/>
      <c r="JR12" s="8">
        <f t="shared" si="89"/>
        <v>1</v>
      </c>
      <c r="JS12" s="5">
        <v>0</v>
      </c>
      <c r="JT12" s="47">
        <v>1</v>
      </c>
      <c r="JU12" s="25">
        <f t="shared" si="90"/>
        <v>0</v>
      </c>
      <c r="JV12" s="25">
        <f t="shared" si="157"/>
        <v>0</v>
      </c>
      <c r="JW12" s="47">
        <v>1</v>
      </c>
      <c r="JX12" s="25">
        <f t="shared" si="91"/>
        <v>0</v>
      </c>
      <c r="JY12" s="47">
        <v>1.5</v>
      </c>
      <c r="JZ12" s="25">
        <f>IF(JS12,baseBetterNumbers(JY12*$DD12),IF(JR12-1,JZ11,0))</f>
        <v>0</v>
      </c>
      <c r="KA12" s="2">
        <v>1.5</v>
      </c>
      <c r="KB12" s="25">
        <f t="shared" si="92"/>
        <v>0</v>
      </c>
      <c r="KC12" s="33" t="str">
        <f t="shared" si="93"/>
        <v>0h 0m</v>
      </c>
      <c r="KD12" s="46">
        <v>1</v>
      </c>
      <c r="KE12" s="25">
        <f t="shared" si="94"/>
        <v>0</v>
      </c>
      <c r="KF12" s="7"/>
      <c r="KG12" s="8">
        <f t="shared" si="158"/>
        <v>10</v>
      </c>
      <c r="KH12" s="5">
        <v>1</v>
      </c>
      <c r="KI12" s="47">
        <v>1</v>
      </c>
      <c r="KJ12" s="25">
        <f t="shared" si="95"/>
        <v>576</v>
      </c>
      <c r="KK12" s="25">
        <f t="shared" si="159"/>
        <v>1793</v>
      </c>
      <c r="KL12" s="47">
        <v>1</v>
      </c>
      <c r="KM12" s="25">
        <f t="shared" si="96"/>
        <v>81</v>
      </c>
      <c r="KN12" s="47">
        <v>1.5</v>
      </c>
      <c r="KO12" s="25">
        <f t="shared" si="97"/>
        <v>76800</v>
      </c>
      <c r="KP12" s="2">
        <v>1.5</v>
      </c>
      <c r="KQ12" s="25">
        <f t="shared" si="98"/>
        <v>30600</v>
      </c>
      <c r="KR12" s="33" t="str">
        <f t="shared" si="99"/>
        <v>2d 15h 53m</v>
      </c>
      <c r="KS12" s="46">
        <v>1</v>
      </c>
      <c r="KT12" s="25">
        <f t="shared" si="100"/>
        <v>230000</v>
      </c>
      <c r="KU12" s="7"/>
      <c r="KV12" s="8">
        <f t="shared" si="160"/>
        <v>3</v>
      </c>
      <c r="KW12" s="5">
        <v>1</v>
      </c>
      <c r="KX12" s="47">
        <v>1</v>
      </c>
      <c r="KY12" s="25">
        <f t="shared" si="101"/>
        <v>576</v>
      </c>
      <c r="KZ12" s="25">
        <f t="shared" si="161"/>
        <v>1440</v>
      </c>
      <c r="LA12" s="47">
        <v>1.5</v>
      </c>
      <c r="LB12" s="25">
        <f t="shared" si="102"/>
        <v>122</v>
      </c>
      <c r="LC12" s="47">
        <v>2.5</v>
      </c>
      <c r="LD12" s="25">
        <f t="shared" si="103"/>
        <v>128000</v>
      </c>
      <c r="LE12" s="2">
        <v>2.5</v>
      </c>
      <c r="LF12" s="25">
        <f t="shared" si="162"/>
        <v>51000</v>
      </c>
      <c r="LG12" s="33" t="str">
        <f t="shared" si="104"/>
        <v>2d 15h 53m</v>
      </c>
      <c r="LH12" s="46">
        <v>1</v>
      </c>
      <c r="LI12" s="25">
        <f t="shared" si="105"/>
        <v>230000</v>
      </c>
      <c r="LJ12" s="7"/>
      <c r="LK12" s="8">
        <f t="shared" si="163"/>
        <v>0</v>
      </c>
      <c r="LL12" s="5">
        <v>0</v>
      </c>
      <c r="LM12" s="47">
        <v>1</v>
      </c>
      <c r="LN12" s="25">
        <f t="shared" si="106"/>
        <v>0</v>
      </c>
      <c r="LO12" s="25">
        <f t="shared" si="164"/>
        <v>0</v>
      </c>
      <c r="LP12" s="47">
        <v>1.5</v>
      </c>
      <c r="LQ12" s="25">
        <f t="shared" si="107"/>
        <v>0</v>
      </c>
      <c r="LR12" s="47">
        <v>2.5</v>
      </c>
      <c r="LS12" s="25">
        <f t="shared" si="108"/>
        <v>0</v>
      </c>
      <c r="LT12" s="2">
        <v>2.5</v>
      </c>
      <c r="LU12" s="25">
        <f t="shared" si="165"/>
        <v>0</v>
      </c>
      <c r="LV12" s="33" t="str">
        <f t="shared" si="109"/>
        <v>0h 0m</v>
      </c>
      <c r="LW12" s="46">
        <v>1</v>
      </c>
      <c r="LX12" s="25">
        <f t="shared" si="110"/>
        <v>0</v>
      </c>
      <c r="LY12" s="7"/>
      <c r="LZ12" s="8">
        <f t="shared" si="166"/>
        <v>2</v>
      </c>
      <c r="MA12" s="5">
        <v>1</v>
      </c>
      <c r="MB12" s="47">
        <v>1</v>
      </c>
      <c r="MC12" s="25">
        <f t="shared" si="111"/>
        <v>576</v>
      </c>
      <c r="MD12" s="25">
        <f t="shared" si="167"/>
        <v>1152</v>
      </c>
      <c r="ME12" s="47">
        <v>0.2</v>
      </c>
      <c r="MF12" s="25">
        <f t="shared" si="112"/>
        <v>16</v>
      </c>
      <c r="MG12" s="47">
        <v>3</v>
      </c>
      <c r="MH12" s="25">
        <f t="shared" si="113"/>
        <v>154000</v>
      </c>
      <c r="MI12" s="2">
        <v>3</v>
      </c>
      <c r="MJ12" s="25">
        <f t="shared" si="168"/>
        <v>61200</v>
      </c>
      <c r="MK12" s="33" t="str">
        <f t="shared" si="114"/>
        <v>4d 0h 6m</v>
      </c>
      <c r="ML12" s="46">
        <v>1.5</v>
      </c>
      <c r="MM12" s="25">
        <f t="shared" si="115"/>
        <v>346000</v>
      </c>
      <c r="MN12" s="7"/>
      <c r="MO12" s="8">
        <f t="shared" si="169"/>
        <v>8</v>
      </c>
      <c r="MP12" s="5">
        <v>1</v>
      </c>
      <c r="MQ12" s="47">
        <v>1</v>
      </c>
      <c r="MR12" s="25">
        <f t="shared" si="116"/>
        <v>576</v>
      </c>
      <c r="MS12" s="25">
        <f t="shared" si="170"/>
        <v>1782</v>
      </c>
      <c r="MT12" s="47">
        <v>1.5</v>
      </c>
      <c r="MU12" s="25">
        <f t="shared" si="117"/>
        <v>122</v>
      </c>
      <c r="MV12" s="47">
        <v>3</v>
      </c>
      <c r="MW12" s="25">
        <f t="shared" si="118"/>
        <v>154000</v>
      </c>
      <c r="MX12" s="2">
        <v>3</v>
      </c>
      <c r="MY12" s="25">
        <f t="shared" si="171"/>
        <v>61200</v>
      </c>
      <c r="MZ12" s="33" t="str">
        <f t="shared" si="119"/>
        <v>4d 0h 6m</v>
      </c>
      <c r="NA12" s="46">
        <v>1.5</v>
      </c>
      <c r="NB12" s="25">
        <f t="shared" si="120"/>
        <v>346000</v>
      </c>
      <c r="NC12" s="7"/>
      <c r="ND12" s="8">
        <f t="shared" si="172"/>
        <v>9</v>
      </c>
      <c r="NE12" s="5">
        <v>1</v>
      </c>
      <c r="NF12" s="47">
        <v>1</v>
      </c>
      <c r="NG12" s="25">
        <f t="shared" si="121"/>
        <v>576</v>
      </c>
      <c r="NH12" s="25">
        <f t="shared" si="173"/>
        <v>1791</v>
      </c>
      <c r="NI12" s="47">
        <v>3</v>
      </c>
      <c r="NJ12" s="25">
        <f>IF(NE12,baseBetterNumbers(NI12*$DD12),IF(ND12,NJ11,0))</f>
        <v>154000</v>
      </c>
      <c r="NK12" s="2">
        <v>3</v>
      </c>
      <c r="NL12" s="25">
        <f>IF(NE12,baseBetterNumbers(NK12*$DG12),IF(ND12-1,NL11,0))</f>
        <v>61200</v>
      </c>
      <c r="NM12" s="33" t="str">
        <f t="shared" si="122"/>
        <v>4d 0h 6m</v>
      </c>
      <c r="NN12" s="46">
        <v>1.5</v>
      </c>
      <c r="NO12" s="25">
        <f>IF(NE12,baseBetterNumbers(NN12*$DK12),IF(ND12,NO11,0))</f>
        <v>346000</v>
      </c>
      <c r="NP12" s="47">
        <v>1.2</v>
      </c>
      <c r="NQ12" s="25">
        <f t="shared" si="188"/>
        <v>1078.2719999999999</v>
      </c>
      <c r="NR12" s="1">
        <f t="shared" si="123"/>
        <v>4313.0879999999997</v>
      </c>
      <c r="NS12" s="1" t="e">
        <f>G12+AJ12*DT12+AL12*EK12+AN12*FE12+AP12*FV12+AR12*GP12+AT12*HG12+AV12*IA12+AX12*IQ12+AZ12*JI12+BD12*KM12+BF12*LB12+BH12*LQ12+BJ12*MF12+BL12*MU12+BR12*OA12+BT12*OP12+BV12*#REF!+BX12*#REF!+BZ12*PU12+#REF!*#REF!+#REF!*#REF!</f>
        <v>#REF!</v>
      </c>
      <c r="NU12" s="8">
        <f t="shared" si="174"/>
        <v>7</v>
      </c>
      <c r="NV12" s="5">
        <v>1</v>
      </c>
      <c r="NW12" s="47">
        <v>1</v>
      </c>
      <c r="NX12" s="25">
        <f t="shared" si="124"/>
        <v>576</v>
      </c>
      <c r="NY12" s="25">
        <f t="shared" si="175"/>
        <v>1764</v>
      </c>
      <c r="NZ12" s="47">
        <v>2</v>
      </c>
      <c r="OA12" s="25">
        <f t="shared" si="125"/>
        <v>162</v>
      </c>
      <c r="OB12" s="47">
        <v>8</v>
      </c>
      <c r="OC12" s="25">
        <f t="shared" si="126"/>
        <v>410000</v>
      </c>
      <c r="OD12" s="2">
        <v>4</v>
      </c>
      <c r="OE12" s="25">
        <f t="shared" si="176"/>
        <v>81600</v>
      </c>
      <c r="OF12" s="33" t="str">
        <f t="shared" si="127"/>
        <v>5d 8h 3m</v>
      </c>
      <c r="OG12" s="46">
        <v>2</v>
      </c>
      <c r="OH12" s="25">
        <f t="shared" si="128"/>
        <v>461000</v>
      </c>
      <c r="OI12" s="7"/>
      <c r="OJ12" s="8">
        <f t="shared" si="177"/>
        <v>7</v>
      </c>
      <c r="OK12" s="5">
        <v>1</v>
      </c>
      <c r="OL12" s="47">
        <v>1</v>
      </c>
      <c r="OM12" s="25">
        <f t="shared" si="129"/>
        <v>576</v>
      </c>
      <c r="ON12" s="25">
        <f t="shared" si="178"/>
        <v>1764</v>
      </c>
      <c r="OO12" s="47">
        <v>2</v>
      </c>
      <c r="OP12" s="25">
        <f t="shared" si="130"/>
        <v>162</v>
      </c>
      <c r="OQ12" s="47">
        <v>8</v>
      </c>
      <c r="OR12" s="25">
        <f t="shared" si="131"/>
        <v>410000</v>
      </c>
      <c r="OS12" s="2">
        <v>4</v>
      </c>
      <c r="OT12" s="25">
        <f t="shared" si="179"/>
        <v>81600</v>
      </c>
      <c r="OU12" s="33" t="str">
        <f t="shared" si="132"/>
        <v>10d 16h 6m</v>
      </c>
      <c r="OV12" s="46">
        <v>4</v>
      </c>
      <c r="OW12" s="25">
        <f t="shared" si="133"/>
        <v>922000</v>
      </c>
      <c r="OX12" s="82">
        <f t="shared" si="194"/>
        <v>0.44999999999999984</v>
      </c>
      <c r="OY12" s="82">
        <v>0.5</v>
      </c>
      <c r="OZ12" s="78" t="str">
        <f t="shared" si="191"/>
        <v>5h 0m</v>
      </c>
      <c r="PA12" s="25">
        <v>18000</v>
      </c>
      <c r="PB12" s="47">
        <v>2</v>
      </c>
      <c r="PC12" s="25">
        <f>baseBetterNumbers(DD12*PB12)</f>
        <v>102000</v>
      </c>
      <c r="PD12" s="82">
        <f t="shared" si="195"/>
        <v>0.75000000000000022</v>
      </c>
      <c r="PE12" s="82">
        <f t="shared" si="204"/>
        <v>0.125</v>
      </c>
      <c r="PF12" s="25">
        <v>0</v>
      </c>
      <c r="PG12" s="78" t="str">
        <f t="shared" si="192"/>
        <v>20h 0m</v>
      </c>
      <c r="PH12" s="25">
        <f t="shared" si="193"/>
        <v>72000</v>
      </c>
      <c r="PI12" s="47">
        <v>10</v>
      </c>
      <c r="PJ12" s="25">
        <f>baseBetterNumbers(DD12*PI12)</f>
        <v>512000</v>
      </c>
      <c r="PK12" s="82">
        <v>1</v>
      </c>
      <c r="PL12" s="82">
        <f t="shared" si="196"/>
        <v>0.54999999999999993</v>
      </c>
      <c r="PM12" s="82">
        <f t="shared" si="201"/>
        <v>0.15</v>
      </c>
      <c r="PN12" s="25"/>
      <c r="PO12" s="8">
        <f t="shared" ref="PO12:PO17" si="213">IF(PP12,PO11+1,PO11)</f>
        <v>2</v>
      </c>
      <c r="PP12" s="5">
        <v>1</v>
      </c>
      <c r="PQ12" s="47">
        <v>1</v>
      </c>
      <c r="PR12" s="25">
        <f t="shared" ref="PR12:PR17" si="214">IF(PP12,baseBetterNumbers(PQ12*$CY12),IF(PO12,PR11,0))</f>
        <v>576</v>
      </c>
      <c r="PS12" s="25">
        <f t="shared" ref="PS12:PS17" si="215">IF(PP12,PR12+PS11,PS11)</f>
        <v>1152</v>
      </c>
      <c r="PT12" s="47">
        <f>PT11</f>
        <v>2</v>
      </c>
      <c r="PU12" s="25">
        <f t="shared" ref="PU12:PU17" si="216">IF(PP12,baseBetterNumbers(PT12*$DB12),IF(PO12,PU11,0))</f>
        <v>162</v>
      </c>
      <c r="PV12" s="47">
        <f>PV11</f>
        <v>15</v>
      </c>
      <c r="PW12" s="25">
        <f t="shared" ref="PW12:PW17" si="217">IF(PP12,baseBetterNumbers(PV12*$DD12),IF(PO12,PW11,0))</f>
        <v>768000</v>
      </c>
      <c r="PX12" s="2">
        <f>PX11</f>
        <v>6</v>
      </c>
      <c r="PY12" s="25">
        <f t="shared" ref="PY12:PY17" si="218">IF(PP12,baseBetterNumbers(PX12*$DG12),IF(PO12-1,PY11,0))</f>
        <v>122000</v>
      </c>
      <c r="PZ12" s="33" t="str">
        <f t="shared" ref="PZ12:PZ17" si="219">secToTime(QB12)</f>
        <v>5d 8h 3m</v>
      </c>
      <c r="QA12" s="46">
        <f>QA11</f>
        <v>2</v>
      </c>
      <c r="QB12" s="25">
        <f t="shared" ref="QB12:QB17" si="220">IF(PP12,baseBetterNumbers(QA12*$DK12),IF(PO12,QB11,0))</f>
        <v>461000</v>
      </c>
    </row>
    <row r="13" spans="1:444">
      <c r="A13" s="23">
        <f t="shared" si="134"/>
        <v>11</v>
      </c>
      <c r="B13" s="8">
        <v>1</v>
      </c>
      <c r="C13" s="47">
        <v>0</v>
      </c>
      <c r="D13" s="25">
        <f>IF(B13,baseBetterNumbers(C13*$CY13),IF(A13-1,D12,0))</f>
        <v>0</v>
      </c>
      <c r="E13" s="25">
        <f t="shared" si="135"/>
        <v>0</v>
      </c>
      <c r="F13" s="47">
        <v>1</v>
      </c>
      <c r="G13" s="25">
        <f>IF(B13,baseBetterNumbers(F13*$DB13),IF(A13-1,G12,0))</f>
        <v>105</v>
      </c>
      <c r="H13" s="47">
        <v>4</v>
      </c>
      <c r="I13" s="25">
        <f>IF(B13,baseBetterNumbers(H13*$DD13),IF(A13-1,I12,0))</f>
        <v>408000</v>
      </c>
      <c r="J13" s="2">
        <v>3</v>
      </c>
      <c r="K13" s="25">
        <f>IF(B13,baseBetterNumbers(J13*$DG13),IF(A13-1,K12,0))</f>
        <v>91800</v>
      </c>
      <c r="L13" s="33" t="str">
        <f t="shared" si="11"/>
        <v>4d 0h 6m</v>
      </c>
      <c r="M13" s="46">
        <v>1</v>
      </c>
      <c r="N13" s="25">
        <f>IF(B13,baseBetterNumbers(M13*$DK13),IF(A13-1,N12,0))</f>
        <v>346000</v>
      </c>
      <c r="O13" s="7">
        <f t="shared" si="136"/>
        <v>0.5</v>
      </c>
      <c r="P13" s="3">
        <f>baseBetterNumbers(O13*EC13)</f>
        <v>402000</v>
      </c>
      <c r="Q13" s="3">
        <f>baseBetterNumbers(O13*FN13)</f>
        <v>402000</v>
      </c>
      <c r="R13" s="3">
        <f>baseBetterNumbers(O13*GY13)</f>
        <v>321000</v>
      </c>
      <c r="S13" s="3">
        <v>40</v>
      </c>
      <c r="T13" s="38">
        <v>6.0000000000000001E-3</v>
      </c>
      <c r="U13" s="38">
        <v>5.5000000000000003E-4</v>
      </c>
      <c r="V13" s="38">
        <v>5.5000000000000003E-4</v>
      </c>
      <c r="W13" s="38">
        <v>5.5000000000000003E-4</v>
      </c>
      <c r="X13" s="3">
        <v>1</v>
      </c>
      <c r="Y13" s="3"/>
      <c r="Z13" s="3"/>
      <c r="AA13" s="3"/>
      <c r="AB13" s="3"/>
      <c r="AC13" s="3"/>
      <c r="AD13" s="3" t="e">
        <f>-AC13+E13+AJ13*DR13+AL13*EI13+AN13*FC13+AP13*FT13+AR13*GN13+AT13*HE13+AV13*HY13+AX13*IO13+AZ13*JG13+BD13*KK13+BF13*KZ13+BH13*LO13+BJ13*MD13+BL13*MS13+BP13*NH13+BR13*NY13+BT13*ON13+BV13*#REF!+BX13*#REF!+BZ13*PS13+#REF!*#REF!+#REF!*#REF!</f>
        <v>#REF!</v>
      </c>
      <c r="AE13" s="3" t="e">
        <f t="shared" si="137"/>
        <v>#REF!</v>
      </c>
      <c r="AF13" s="3"/>
      <c r="AG13" s="3" t="e">
        <f>SUM(AI3:AI13)</f>
        <v>#REF!</v>
      </c>
      <c r="AH13" s="3">
        <f t="shared" si="12"/>
        <v>8</v>
      </c>
      <c r="AI13" s="3" t="e">
        <f>AK13+AM13+AO13+AQ13+AS13+AU13+AW13+AY13+BA13+BE13+BG13+BI13+BK13+BM13+BO13+BQ13+BS13+BU13+BW13+BY13+CA13+#REF!+#REF!</f>
        <v>#REF!</v>
      </c>
      <c r="AJ13" s="3">
        <f>SUM(AK3:AK13)</f>
        <v>3</v>
      </c>
      <c r="AK13" s="3"/>
      <c r="AL13" s="3">
        <f>SUM(AM3:AM13)</f>
        <v>4</v>
      </c>
      <c r="AM13" s="3"/>
      <c r="AN13" s="3">
        <f>SUM(AO3:AO13)</f>
        <v>3</v>
      </c>
      <c r="AO13" s="3"/>
      <c r="AP13" s="3">
        <f>SUM(AQ3:AQ13)</f>
        <v>4</v>
      </c>
      <c r="AQ13" s="3"/>
      <c r="AR13" s="3">
        <f>SUM(AS3:AS13)</f>
        <v>2</v>
      </c>
      <c r="AS13" s="3"/>
      <c r="AT13" s="3">
        <f>SUM(AU3:AU13)</f>
        <v>2</v>
      </c>
      <c r="AU13" s="3"/>
      <c r="AV13" s="3">
        <f>SUM(AW3:AW13)</f>
        <v>3</v>
      </c>
      <c r="AW13" s="3"/>
      <c r="AX13" s="3">
        <f>SUM(AY3:AY13)</f>
        <v>1</v>
      </c>
      <c r="AY13" s="3"/>
      <c r="AZ13" s="3">
        <f>SUM(BA3:BA13)</f>
        <v>1</v>
      </c>
      <c r="BA13" s="3"/>
      <c r="BB13" s="3">
        <f>SUM(BC3:BC13)</f>
        <v>15</v>
      </c>
      <c r="BC13" s="3">
        <v>1</v>
      </c>
      <c r="BD13" s="3">
        <f>SUM(BE3:BE13)</f>
        <v>4</v>
      </c>
      <c r="BE13" s="3"/>
      <c r="BF13" s="3">
        <f>SUM(BG3:BG13)</f>
        <v>2</v>
      </c>
      <c r="BG13" s="3"/>
      <c r="BH13" s="3">
        <f>SUM(BI3:BI13)</f>
        <v>0</v>
      </c>
      <c r="BI13" s="3"/>
      <c r="BJ13" s="3">
        <f>SUM(BK3:BK13)</f>
        <v>2</v>
      </c>
      <c r="BK13" s="3">
        <v>1</v>
      </c>
      <c r="BL13" s="3">
        <f>SUM(BM3:BM13)</f>
        <v>3</v>
      </c>
      <c r="BM13" s="3"/>
      <c r="BN13" s="3">
        <f>SUM(BO3:BO13)</f>
        <v>1</v>
      </c>
      <c r="BO13" s="3"/>
      <c r="BP13" s="3">
        <f>SUM(BQ3:BQ13)</f>
        <v>4</v>
      </c>
      <c r="BQ13" s="3"/>
      <c r="BR13" s="3">
        <f>SUM(BS3:BS13)</f>
        <v>1</v>
      </c>
      <c r="BS13" s="3"/>
      <c r="BT13" s="3">
        <f>SUM(BU3:BU13)</f>
        <v>1</v>
      </c>
      <c r="BU13" s="3"/>
      <c r="BV13" s="3">
        <f>SUM(BW3:BW13)</f>
        <v>1</v>
      </c>
      <c r="BW13" s="3"/>
      <c r="BX13" s="3">
        <f>SUM(BY3:BY13)</f>
        <v>1</v>
      </c>
      <c r="BY13" s="3"/>
      <c r="BZ13" s="3">
        <f>SUM(CA3:CA13)</f>
        <v>1</v>
      </c>
      <c r="CA13" s="3"/>
      <c r="CC13" s="1">
        <f t="shared" si="0"/>
        <v>22400</v>
      </c>
      <c r="CD13" s="1">
        <f t="shared" si="1"/>
        <v>2814000</v>
      </c>
      <c r="CE13" s="1">
        <f t="shared" si="2"/>
        <v>1072000</v>
      </c>
      <c r="CF13" s="12">
        <f t="shared" si="3"/>
        <v>47.857142857142854</v>
      </c>
      <c r="CG13" s="12">
        <f t="shared" si="13"/>
        <v>2.625</v>
      </c>
      <c r="CI13" s="1">
        <f t="shared" si="4"/>
        <v>22400</v>
      </c>
      <c r="CJ13" s="1">
        <f t="shared" si="5"/>
        <v>2814000</v>
      </c>
      <c r="CK13" s="1">
        <f t="shared" si="6"/>
        <v>1072000</v>
      </c>
      <c r="CL13" s="12">
        <f t="shared" si="14"/>
        <v>47.857142857142854</v>
      </c>
      <c r="CM13" s="12">
        <f t="shared" si="15"/>
        <v>2.625</v>
      </c>
      <c r="CO13" s="1">
        <f t="shared" si="7"/>
        <v>8960</v>
      </c>
      <c r="CP13" s="1">
        <f t="shared" si="8"/>
        <v>1605000</v>
      </c>
      <c r="CQ13" s="1">
        <f t="shared" si="9"/>
        <v>428000</v>
      </c>
      <c r="CR13" s="12">
        <f t="shared" si="16"/>
        <v>47.767857142857146</v>
      </c>
      <c r="CS13" s="12">
        <f t="shared" si="17"/>
        <v>3.75</v>
      </c>
      <c r="CV13" s="8">
        <f t="shared" si="18"/>
        <v>11</v>
      </c>
      <c r="CW13" s="8">
        <v>1</v>
      </c>
      <c r="CX13" s="45">
        <f t="shared" ref="CX13" si="221">CX12</f>
        <v>0.25</v>
      </c>
      <c r="CY13" s="25">
        <f t="shared" si="10"/>
        <v>864</v>
      </c>
      <c r="CZ13" s="25">
        <f t="shared" si="19"/>
        <v>2657</v>
      </c>
      <c r="DA13" s="47">
        <f t="shared" si="211"/>
        <v>1.3</v>
      </c>
      <c r="DB13" s="3">
        <f t="shared" si="20"/>
        <v>105</v>
      </c>
      <c r="DC13" s="3">
        <f t="shared" si="182"/>
        <v>2</v>
      </c>
      <c r="DD13" s="3">
        <f t="shared" si="21"/>
        <v>102000</v>
      </c>
      <c r="DE13" s="20">
        <f t="shared" si="22"/>
        <v>3.6247334754797439E-2</v>
      </c>
      <c r="DF13" s="2">
        <v>1.5</v>
      </c>
      <c r="DG13" s="3">
        <f t="shared" si="202"/>
        <v>30600</v>
      </c>
      <c r="DH13" s="20">
        <f t="shared" si="198"/>
        <v>1.9065420560747663E-2</v>
      </c>
      <c r="DI13" s="33" t="str">
        <f t="shared" si="23"/>
        <v>4d 0h 0m</v>
      </c>
      <c r="DJ13" s="46">
        <v>1.5</v>
      </c>
      <c r="DK13" s="28">
        <f t="shared" si="24"/>
        <v>345600</v>
      </c>
      <c r="DN13" s="8">
        <f t="shared" si="139"/>
        <v>11</v>
      </c>
      <c r="DO13" s="8">
        <v>1</v>
      </c>
      <c r="DP13" s="47">
        <v>1</v>
      </c>
      <c r="DQ13" s="25">
        <f t="shared" si="25"/>
        <v>864</v>
      </c>
      <c r="DR13" s="25">
        <f t="shared" si="140"/>
        <v>2657</v>
      </c>
      <c r="DS13" s="47">
        <v>1</v>
      </c>
      <c r="DT13" s="25">
        <f t="shared" si="26"/>
        <v>105</v>
      </c>
      <c r="DU13" s="47">
        <v>1</v>
      </c>
      <c r="DV13" s="25">
        <f t="shared" si="27"/>
        <v>102000</v>
      </c>
      <c r="DW13" s="2">
        <v>1</v>
      </c>
      <c r="DX13" s="25">
        <f t="shared" si="28"/>
        <v>30600</v>
      </c>
      <c r="DY13" s="33" t="str">
        <f t="shared" si="29"/>
        <v>4d 0h 6m</v>
      </c>
      <c r="DZ13" s="46">
        <v>1</v>
      </c>
      <c r="EA13" s="25">
        <f t="shared" si="30"/>
        <v>346000</v>
      </c>
      <c r="EB13" s="45">
        <v>3</v>
      </c>
      <c r="EC13" s="1">
        <f t="shared" si="31"/>
        <v>804000</v>
      </c>
      <c r="ED13" s="3"/>
      <c r="EE13" s="8">
        <f t="shared" si="141"/>
        <v>11</v>
      </c>
      <c r="EF13" s="8">
        <v>1</v>
      </c>
      <c r="EG13" s="47">
        <v>1</v>
      </c>
      <c r="EH13" s="25">
        <f t="shared" si="32"/>
        <v>864</v>
      </c>
      <c r="EI13" s="25">
        <f t="shared" si="142"/>
        <v>2657</v>
      </c>
      <c r="EJ13" s="47">
        <v>1</v>
      </c>
      <c r="EK13" s="25">
        <f t="shared" si="33"/>
        <v>105</v>
      </c>
      <c r="EL13" s="47">
        <v>0.5</v>
      </c>
      <c r="EM13" s="25">
        <f t="shared" si="34"/>
        <v>51000</v>
      </c>
      <c r="EN13" s="2">
        <v>1</v>
      </c>
      <c r="EO13" s="25">
        <f t="shared" si="35"/>
        <v>30600</v>
      </c>
      <c r="EP13" s="33" t="str">
        <f t="shared" si="36"/>
        <v>4d 0h 6m</v>
      </c>
      <c r="EQ13" s="46">
        <v>1</v>
      </c>
      <c r="ER13" s="25">
        <f t="shared" si="37"/>
        <v>346000</v>
      </c>
      <c r="ES13" s="45">
        <f>ES12</f>
        <v>1.2</v>
      </c>
      <c r="ET13" s="3">
        <f t="shared" si="38"/>
        <v>5600</v>
      </c>
      <c r="EU13" s="7">
        <f t="shared" si="184"/>
        <v>1.8</v>
      </c>
      <c r="EV13" s="3">
        <f t="shared" si="39"/>
        <v>268000</v>
      </c>
      <c r="EW13" s="6" t="str">
        <f t="shared" si="40"/>
        <v>1d 23h 51m</v>
      </c>
      <c r="EY13" s="8">
        <f t="shared" si="143"/>
        <v>11</v>
      </c>
      <c r="EZ13" s="8">
        <v>1</v>
      </c>
      <c r="FA13" s="47">
        <v>1</v>
      </c>
      <c r="FB13" s="25">
        <f t="shared" si="41"/>
        <v>864</v>
      </c>
      <c r="FC13" s="25">
        <f t="shared" si="144"/>
        <v>2657</v>
      </c>
      <c r="FD13" s="47">
        <v>1</v>
      </c>
      <c r="FE13" s="25">
        <f t="shared" si="42"/>
        <v>105</v>
      </c>
      <c r="FF13" s="47">
        <v>1</v>
      </c>
      <c r="FG13" s="25">
        <f t="shared" si="43"/>
        <v>102000</v>
      </c>
      <c r="FH13" s="2">
        <v>1</v>
      </c>
      <c r="FI13" s="25">
        <f t="shared" si="44"/>
        <v>30600</v>
      </c>
      <c r="FJ13" s="33" t="str">
        <f t="shared" si="45"/>
        <v>4d 0h 6m</v>
      </c>
      <c r="FK13" s="46">
        <v>1</v>
      </c>
      <c r="FL13" s="25">
        <f t="shared" si="46"/>
        <v>346000</v>
      </c>
      <c r="FM13" s="45">
        <v>3</v>
      </c>
      <c r="FN13" s="1">
        <f t="shared" si="47"/>
        <v>804000</v>
      </c>
      <c r="FO13" s="3"/>
      <c r="FP13" s="8">
        <f t="shared" si="145"/>
        <v>11</v>
      </c>
      <c r="FQ13" s="8">
        <v>1</v>
      </c>
      <c r="FR13" s="47">
        <v>1</v>
      </c>
      <c r="FS13" s="25">
        <f t="shared" si="48"/>
        <v>864</v>
      </c>
      <c r="FT13" s="25">
        <f t="shared" si="146"/>
        <v>2657</v>
      </c>
      <c r="FU13" s="47">
        <v>1</v>
      </c>
      <c r="FV13" s="25">
        <f t="shared" si="49"/>
        <v>105</v>
      </c>
      <c r="FW13" s="47">
        <v>0.5</v>
      </c>
      <c r="FX13" s="25">
        <f t="shared" si="50"/>
        <v>51000</v>
      </c>
      <c r="FY13" s="2">
        <v>1</v>
      </c>
      <c r="FZ13" s="25">
        <f t="shared" si="51"/>
        <v>30600</v>
      </c>
      <c r="GA13" s="33" t="str">
        <f t="shared" si="52"/>
        <v>4d 0h 6m</v>
      </c>
      <c r="GB13" s="46">
        <v>1</v>
      </c>
      <c r="GC13" s="25">
        <f t="shared" si="53"/>
        <v>346000</v>
      </c>
      <c r="GD13" s="45">
        <f>GD12</f>
        <v>1.2</v>
      </c>
      <c r="GE13" s="3">
        <f t="shared" si="54"/>
        <v>5600</v>
      </c>
      <c r="GF13" s="7">
        <f t="shared" si="203"/>
        <v>1.8</v>
      </c>
      <c r="GG13" s="3">
        <f t="shared" si="55"/>
        <v>268000</v>
      </c>
      <c r="GH13" s="6" t="str">
        <f t="shared" si="56"/>
        <v>1d 23h 51m</v>
      </c>
      <c r="GJ13" s="8">
        <f t="shared" si="147"/>
        <v>5</v>
      </c>
      <c r="GK13" s="8">
        <v>1</v>
      </c>
      <c r="GL13" s="47">
        <v>1</v>
      </c>
      <c r="GM13" s="25">
        <f t="shared" si="57"/>
        <v>864</v>
      </c>
      <c r="GN13" s="25">
        <f t="shared" si="148"/>
        <v>2448</v>
      </c>
      <c r="GO13" s="47">
        <v>1</v>
      </c>
      <c r="GP13" s="25">
        <f t="shared" si="58"/>
        <v>105</v>
      </c>
      <c r="GQ13" s="47">
        <v>1.5</v>
      </c>
      <c r="GR13" s="25">
        <f t="shared" si="59"/>
        <v>153000</v>
      </c>
      <c r="GS13" s="2">
        <v>1</v>
      </c>
      <c r="GT13" s="25">
        <f t="shared" si="60"/>
        <v>30600</v>
      </c>
      <c r="GU13" s="33" t="str">
        <f t="shared" si="61"/>
        <v>4d 0h 6m</v>
      </c>
      <c r="GV13" s="46">
        <v>1</v>
      </c>
      <c r="GW13" s="25">
        <f t="shared" si="62"/>
        <v>346000</v>
      </c>
      <c r="GX13" s="45">
        <v>3</v>
      </c>
      <c r="GY13" s="1">
        <f t="shared" si="63"/>
        <v>642000</v>
      </c>
      <c r="GZ13" s="3"/>
      <c r="HA13" s="8">
        <f t="shared" si="149"/>
        <v>5</v>
      </c>
      <c r="HB13" s="8">
        <v>1</v>
      </c>
      <c r="HC13" s="47">
        <v>1</v>
      </c>
      <c r="HD13" s="25">
        <f t="shared" si="64"/>
        <v>864</v>
      </c>
      <c r="HE13" s="25">
        <f t="shared" si="150"/>
        <v>2448</v>
      </c>
      <c r="HF13" s="47">
        <v>1</v>
      </c>
      <c r="HG13" s="25">
        <f t="shared" si="65"/>
        <v>105</v>
      </c>
      <c r="HH13" s="47">
        <v>0.5</v>
      </c>
      <c r="HI13" s="25">
        <f t="shared" si="66"/>
        <v>51000</v>
      </c>
      <c r="HJ13" s="2">
        <v>1</v>
      </c>
      <c r="HK13" s="25">
        <f t="shared" si="67"/>
        <v>30600</v>
      </c>
      <c r="HL13" s="33" t="str">
        <f t="shared" si="68"/>
        <v>4d 0h 6m</v>
      </c>
      <c r="HM13" s="46">
        <v>1</v>
      </c>
      <c r="HN13" s="25">
        <f t="shared" si="69"/>
        <v>346000</v>
      </c>
      <c r="HO13" s="45">
        <v>0.8</v>
      </c>
      <c r="HP13" s="3">
        <f t="shared" si="199"/>
        <v>4480</v>
      </c>
      <c r="HQ13" s="7">
        <v>0.8</v>
      </c>
      <c r="HR13" s="3">
        <f t="shared" si="200"/>
        <v>214000</v>
      </c>
      <c r="HS13" s="6" t="str">
        <f t="shared" si="70"/>
        <v>1d 23h 46m</v>
      </c>
      <c r="HU13" s="8">
        <f t="shared" si="151"/>
        <v>11</v>
      </c>
      <c r="HV13" s="8">
        <v>1</v>
      </c>
      <c r="HW13" s="47">
        <v>1</v>
      </c>
      <c r="HX13" s="25">
        <f t="shared" si="71"/>
        <v>864</v>
      </c>
      <c r="HY13" s="25">
        <f t="shared" si="152"/>
        <v>2657</v>
      </c>
      <c r="HZ13" s="47">
        <v>2</v>
      </c>
      <c r="IA13" s="25">
        <f t="shared" si="72"/>
        <v>210</v>
      </c>
      <c r="IB13" s="47">
        <v>2.5</v>
      </c>
      <c r="IC13" s="25">
        <f t="shared" si="73"/>
        <v>255000</v>
      </c>
      <c r="ID13" s="2">
        <v>2.5</v>
      </c>
      <c r="IE13" s="25">
        <f t="shared" si="74"/>
        <v>76500</v>
      </c>
      <c r="IF13" s="33" t="str">
        <f t="shared" si="75"/>
        <v>7d 23h 56m</v>
      </c>
      <c r="IG13" s="46">
        <v>2</v>
      </c>
      <c r="IH13" s="25">
        <f t="shared" si="76"/>
        <v>691000</v>
      </c>
      <c r="IK13" s="8">
        <f t="shared" si="153"/>
        <v>7</v>
      </c>
      <c r="IL13" s="8">
        <v>1</v>
      </c>
      <c r="IM13" s="47">
        <v>1</v>
      </c>
      <c r="IN13" s="25">
        <f t="shared" si="77"/>
        <v>864</v>
      </c>
      <c r="IO13" s="25">
        <f t="shared" si="154"/>
        <v>2592</v>
      </c>
      <c r="IP13" s="47">
        <v>3</v>
      </c>
      <c r="IQ13" s="25">
        <f t="shared" si="78"/>
        <v>315</v>
      </c>
      <c r="IR13" s="47">
        <v>6</v>
      </c>
      <c r="IS13" s="25">
        <f t="shared" si="79"/>
        <v>612000</v>
      </c>
      <c r="IT13" s="2">
        <v>4</v>
      </c>
      <c r="IU13" s="25">
        <f t="shared" si="80"/>
        <v>122000</v>
      </c>
      <c r="IV13" s="33" t="str">
        <f t="shared" si="81"/>
        <v>7d 23h 56m</v>
      </c>
      <c r="IW13" s="46">
        <v>2</v>
      </c>
      <c r="IX13" s="25">
        <f t="shared" si="82"/>
        <v>691000</v>
      </c>
      <c r="IY13" s="25">
        <v>15</v>
      </c>
      <c r="IZ13" s="25">
        <v>9</v>
      </c>
      <c r="JA13" s="25">
        <v>0</v>
      </c>
      <c r="JB13" s="7"/>
      <c r="JC13" s="8">
        <f t="shared" si="155"/>
        <v>6</v>
      </c>
      <c r="JD13" s="8">
        <v>1</v>
      </c>
      <c r="JE13" s="47">
        <v>1</v>
      </c>
      <c r="JF13" s="25">
        <f t="shared" si="83"/>
        <v>864</v>
      </c>
      <c r="JG13" s="25">
        <f t="shared" si="156"/>
        <v>2520</v>
      </c>
      <c r="JH13" s="47">
        <v>0.5</v>
      </c>
      <c r="JI13" s="25">
        <f t="shared" si="84"/>
        <v>52</v>
      </c>
      <c r="JJ13" s="47">
        <v>2.5</v>
      </c>
      <c r="JK13" s="25">
        <f t="shared" si="85"/>
        <v>255000</v>
      </c>
      <c r="JL13" s="2">
        <v>2.5</v>
      </c>
      <c r="JM13" s="25">
        <f t="shared" si="86"/>
        <v>76500</v>
      </c>
      <c r="JN13" s="33" t="str">
        <f t="shared" si="87"/>
        <v>5d 23h 53m</v>
      </c>
      <c r="JO13" s="46">
        <v>1.5</v>
      </c>
      <c r="JP13" s="25">
        <f t="shared" si="88"/>
        <v>518000</v>
      </c>
      <c r="JQ13" s="7"/>
      <c r="JR13" s="8">
        <f t="shared" si="89"/>
        <v>1</v>
      </c>
      <c r="JS13" s="5">
        <v>0</v>
      </c>
      <c r="JT13" s="47">
        <v>1</v>
      </c>
      <c r="JU13" s="25">
        <f t="shared" si="90"/>
        <v>0</v>
      </c>
      <c r="JV13" s="25">
        <f t="shared" si="157"/>
        <v>0</v>
      </c>
      <c r="JW13" s="47">
        <v>1</v>
      </c>
      <c r="JX13" s="25">
        <f t="shared" si="91"/>
        <v>0</v>
      </c>
      <c r="JY13" s="47">
        <v>1.5</v>
      </c>
      <c r="JZ13" s="25">
        <f>IF(JS13,baseBetterNumbers(JY13*$DD13),IF(JR13-1,JZ12,0))</f>
        <v>0</v>
      </c>
      <c r="KA13" s="2">
        <v>1.5</v>
      </c>
      <c r="KB13" s="25">
        <f t="shared" si="92"/>
        <v>0</v>
      </c>
      <c r="KC13" s="33" t="str">
        <f t="shared" si="93"/>
        <v>0h 0m</v>
      </c>
      <c r="KD13" s="46">
        <v>1</v>
      </c>
      <c r="KE13" s="25">
        <f t="shared" si="94"/>
        <v>0</v>
      </c>
      <c r="KF13" s="7"/>
      <c r="KG13" s="8">
        <f t="shared" si="158"/>
        <v>11</v>
      </c>
      <c r="KH13" s="8">
        <v>1</v>
      </c>
      <c r="KI13" s="47">
        <v>1</v>
      </c>
      <c r="KJ13" s="25">
        <f t="shared" si="95"/>
        <v>864</v>
      </c>
      <c r="KK13" s="25">
        <f t="shared" si="159"/>
        <v>2657</v>
      </c>
      <c r="KL13" s="47">
        <v>1</v>
      </c>
      <c r="KM13" s="25">
        <f t="shared" si="96"/>
        <v>105</v>
      </c>
      <c r="KN13" s="47">
        <v>1.5</v>
      </c>
      <c r="KO13" s="25">
        <f t="shared" si="97"/>
        <v>153000</v>
      </c>
      <c r="KP13" s="2">
        <v>1.5</v>
      </c>
      <c r="KQ13" s="25">
        <f t="shared" si="98"/>
        <v>45900</v>
      </c>
      <c r="KR13" s="33" t="str">
        <f t="shared" si="99"/>
        <v>4d 0h 6m</v>
      </c>
      <c r="KS13" s="46">
        <v>1</v>
      </c>
      <c r="KT13" s="25">
        <f t="shared" si="100"/>
        <v>346000</v>
      </c>
      <c r="KU13" s="7"/>
      <c r="KV13" s="8">
        <f t="shared" si="160"/>
        <v>4</v>
      </c>
      <c r="KW13" s="8">
        <v>1</v>
      </c>
      <c r="KX13" s="47">
        <v>1</v>
      </c>
      <c r="KY13" s="25">
        <f t="shared" si="101"/>
        <v>864</v>
      </c>
      <c r="KZ13" s="25">
        <f t="shared" si="161"/>
        <v>2304</v>
      </c>
      <c r="LA13" s="47">
        <v>1.5</v>
      </c>
      <c r="LB13" s="25">
        <f t="shared" si="102"/>
        <v>158</v>
      </c>
      <c r="LC13" s="47">
        <v>2.5</v>
      </c>
      <c r="LD13" s="25">
        <f t="shared" si="103"/>
        <v>255000</v>
      </c>
      <c r="LE13" s="2">
        <v>2.5</v>
      </c>
      <c r="LF13" s="25">
        <f t="shared" si="162"/>
        <v>76500</v>
      </c>
      <c r="LG13" s="33" t="str">
        <f t="shared" si="104"/>
        <v>4d 0h 6m</v>
      </c>
      <c r="LH13" s="46">
        <v>1</v>
      </c>
      <c r="LI13" s="25">
        <f t="shared" si="105"/>
        <v>346000</v>
      </c>
      <c r="LJ13" s="7"/>
      <c r="LK13" s="8">
        <f t="shared" si="163"/>
        <v>0</v>
      </c>
      <c r="LL13" s="5">
        <v>0</v>
      </c>
      <c r="LM13" s="47">
        <v>1</v>
      </c>
      <c r="LN13" s="25">
        <f t="shared" si="106"/>
        <v>0</v>
      </c>
      <c r="LO13" s="25">
        <f t="shared" si="164"/>
        <v>0</v>
      </c>
      <c r="LP13" s="47">
        <v>1.5</v>
      </c>
      <c r="LQ13" s="25">
        <f t="shared" si="107"/>
        <v>0</v>
      </c>
      <c r="LR13" s="47">
        <v>2.5</v>
      </c>
      <c r="LS13" s="25">
        <f t="shared" si="108"/>
        <v>0</v>
      </c>
      <c r="LT13" s="2">
        <v>2.5</v>
      </c>
      <c r="LU13" s="25">
        <f t="shared" si="165"/>
        <v>0</v>
      </c>
      <c r="LV13" s="33" t="str">
        <f t="shared" si="109"/>
        <v>0h 0m</v>
      </c>
      <c r="LW13" s="46">
        <v>1</v>
      </c>
      <c r="LX13" s="25">
        <f t="shared" si="110"/>
        <v>0</v>
      </c>
      <c r="LY13" s="7"/>
      <c r="LZ13" s="8">
        <f t="shared" si="166"/>
        <v>3</v>
      </c>
      <c r="MA13" s="5">
        <v>1</v>
      </c>
      <c r="MB13" s="47">
        <v>1</v>
      </c>
      <c r="MC13" s="25">
        <f t="shared" si="111"/>
        <v>864</v>
      </c>
      <c r="MD13" s="25">
        <f t="shared" si="167"/>
        <v>2016</v>
      </c>
      <c r="ME13" s="47">
        <v>0.2</v>
      </c>
      <c r="MF13" s="25">
        <f t="shared" si="112"/>
        <v>21</v>
      </c>
      <c r="MG13" s="47">
        <v>3</v>
      </c>
      <c r="MH13" s="25">
        <f t="shared" si="113"/>
        <v>306000</v>
      </c>
      <c r="MI13" s="2">
        <v>3</v>
      </c>
      <c r="MJ13" s="25">
        <f t="shared" si="168"/>
        <v>91800</v>
      </c>
      <c r="MK13" s="33" t="str">
        <f t="shared" si="114"/>
        <v>5d 23h 53m</v>
      </c>
      <c r="ML13" s="46">
        <v>1.5</v>
      </c>
      <c r="MM13" s="25">
        <f t="shared" si="115"/>
        <v>518000</v>
      </c>
      <c r="MN13" s="7"/>
      <c r="MO13" s="8">
        <f t="shared" si="169"/>
        <v>9</v>
      </c>
      <c r="MP13" s="5">
        <v>1</v>
      </c>
      <c r="MQ13" s="47">
        <v>1</v>
      </c>
      <c r="MR13" s="25">
        <f t="shared" si="116"/>
        <v>864</v>
      </c>
      <c r="MS13" s="25">
        <f t="shared" si="170"/>
        <v>2646</v>
      </c>
      <c r="MT13" s="47">
        <v>1.5</v>
      </c>
      <c r="MU13" s="25">
        <f t="shared" si="117"/>
        <v>158</v>
      </c>
      <c r="MV13" s="47">
        <v>2.5</v>
      </c>
      <c r="MW13" s="25">
        <f t="shared" si="118"/>
        <v>255000</v>
      </c>
      <c r="MX13" s="2">
        <v>3</v>
      </c>
      <c r="MY13" s="25">
        <f t="shared" si="171"/>
        <v>91800</v>
      </c>
      <c r="MZ13" s="33" t="str">
        <f t="shared" si="119"/>
        <v>5d 23h 53m</v>
      </c>
      <c r="NA13" s="46">
        <v>1.5</v>
      </c>
      <c r="NB13" s="25">
        <f t="shared" si="120"/>
        <v>518000</v>
      </c>
      <c r="NC13" s="7"/>
      <c r="ND13" s="8">
        <f t="shared" si="172"/>
        <v>10</v>
      </c>
      <c r="NE13" s="5">
        <v>1</v>
      </c>
      <c r="NF13" s="47">
        <v>1</v>
      </c>
      <c r="NG13" s="25">
        <f t="shared" si="121"/>
        <v>864</v>
      </c>
      <c r="NH13" s="25">
        <f t="shared" si="173"/>
        <v>2655</v>
      </c>
      <c r="NI13" s="47">
        <v>2.5</v>
      </c>
      <c r="NJ13" s="25">
        <f>IF(NE13,baseBetterNumbers(NI13*$DD13),IF(ND13,NJ12,0))</f>
        <v>255000</v>
      </c>
      <c r="NK13" s="2">
        <v>3</v>
      </c>
      <c r="NL13" s="25">
        <f>IF(NE13,baseBetterNumbers(NK13*$DG13),IF(ND13-1,NL12,0))</f>
        <v>91800</v>
      </c>
      <c r="NM13" s="33" t="str">
        <f t="shared" si="122"/>
        <v>5d 23h 53m</v>
      </c>
      <c r="NN13" s="46">
        <v>1.5</v>
      </c>
      <c r="NO13" s="25">
        <f>IF(NE13,baseBetterNumbers(NN13*$DK13),IF(ND13,NO12,0))</f>
        <v>518000</v>
      </c>
      <c r="NP13" s="47">
        <v>1.2</v>
      </c>
      <c r="NQ13" s="25">
        <f t="shared" si="188"/>
        <v>1293.9263999999998</v>
      </c>
      <c r="NR13" s="1">
        <f t="shared" si="123"/>
        <v>5175.7055999999993</v>
      </c>
      <c r="NS13" s="1" t="e">
        <f>G13+AJ13*DT13+AL13*EK13+AN13*FE13+AP13*FV13+AR13*GP13+AT13*HG13+AV13*IA13+AX13*IQ13+AZ13*JI13+BD13*KM13+BF13*LB13+BH13*LQ13+BJ13*MF13+BL13*MU13+BR13*OA13+BT13*OP13+BV13*#REF!+BX13*#REF!+BZ13*PU13+#REF!*#REF!+#REF!*#REF!</f>
        <v>#REF!</v>
      </c>
      <c r="NU13" s="8">
        <f t="shared" si="174"/>
        <v>8</v>
      </c>
      <c r="NV13" s="5">
        <v>1</v>
      </c>
      <c r="NW13" s="47">
        <v>1</v>
      </c>
      <c r="NX13" s="25">
        <f t="shared" si="124"/>
        <v>864</v>
      </c>
      <c r="NY13" s="25">
        <f t="shared" si="175"/>
        <v>2628</v>
      </c>
      <c r="NZ13" s="47">
        <v>2</v>
      </c>
      <c r="OA13" s="25">
        <f t="shared" si="125"/>
        <v>210</v>
      </c>
      <c r="OB13" s="47">
        <v>6</v>
      </c>
      <c r="OC13" s="25">
        <f t="shared" si="126"/>
        <v>612000</v>
      </c>
      <c r="OD13" s="2">
        <v>4</v>
      </c>
      <c r="OE13" s="25">
        <f t="shared" si="176"/>
        <v>122000</v>
      </c>
      <c r="OF13" s="33" t="str">
        <f t="shared" si="127"/>
        <v>7d 23h 56m</v>
      </c>
      <c r="OG13" s="46">
        <v>2</v>
      </c>
      <c r="OH13" s="25">
        <f t="shared" si="128"/>
        <v>691000</v>
      </c>
      <c r="OI13" s="7"/>
      <c r="OJ13" s="8">
        <f t="shared" si="177"/>
        <v>8</v>
      </c>
      <c r="OK13" s="5">
        <v>1</v>
      </c>
      <c r="OL13" s="47">
        <v>1</v>
      </c>
      <c r="OM13" s="25">
        <f t="shared" si="129"/>
        <v>864</v>
      </c>
      <c r="ON13" s="25">
        <f t="shared" si="178"/>
        <v>2628</v>
      </c>
      <c r="OO13" s="47">
        <v>2</v>
      </c>
      <c r="OP13" s="25">
        <f t="shared" si="130"/>
        <v>210</v>
      </c>
      <c r="OQ13" s="47">
        <v>8</v>
      </c>
      <c r="OR13" s="25">
        <f t="shared" si="131"/>
        <v>816000</v>
      </c>
      <c r="OS13" s="2">
        <v>4</v>
      </c>
      <c r="OT13" s="25">
        <f t="shared" si="179"/>
        <v>122000</v>
      </c>
      <c r="OU13" s="33" t="str">
        <f t="shared" si="132"/>
        <v>12d 0h 53m</v>
      </c>
      <c r="OV13" s="46">
        <v>3</v>
      </c>
      <c r="OW13" s="25">
        <f t="shared" si="133"/>
        <v>1040000</v>
      </c>
      <c r="OX13" s="82">
        <f t="shared" si="194"/>
        <v>0.39999999999999986</v>
      </c>
      <c r="OY13" s="82">
        <v>0.5</v>
      </c>
      <c r="OZ13" s="78" t="str">
        <f t="shared" si="191"/>
        <v>5h 0m</v>
      </c>
      <c r="PA13" s="25">
        <v>18000</v>
      </c>
      <c r="PB13" s="47">
        <v>2</v>
      </c>
      <c r="PC13" s="25">
        <f>baseBetterNumbers(DD13*PB13)</f>
        <v>204000</v>
      </c>
      <c r="PD13" s="82">
        <f t="shared" si="195"/>
        <v>0.80000000000000027</v>
      </c>
      <c r="PE13" s="82">
        <f t="shared" si="204"/>
        <v>0.15</v>
      </c>
      <c r="PF13" s="25">
        <v>0</v>
      </c>
      <c r="PG13" s="78" t="str">
        <f t="shared" si="192"/>
        <v>20h 0m</v>
      </c>
      <c r="PH13" s="25">
        <f t="shared" si="193"/>
        <v>72000</v>
      </c>
      <c r="PI13" s="47">
        <v>10</v>
      </c>
      <c r="PJ13" s="25">
        <f>baseBetterNumbers(DD13*PI13)</f>
        <v>1020000</v>
      </c>
      <c r="PK13" s="82">
        <v>1</v>
      </c>
      <c r="PL13" s="82">
        <f t="shared" si="196"/>
        <v>0.6</v>
      </c>
      <c r="PM13" s="82">
        <f t="shared" si="201"/>
        <v>0.17499999999999999</v>
      </c>
      <c r="PN13" s="25"/>
      <c r="PO13" s="8">
        <f t="shared" si="213"/>
        <v>3</v>
      </c>
      <c r="PP13" s="5">
        <v>1</v>
      </c>
      <c r="PQ13" s="47">
        <v>1</v>
      </c>
      <c r="PR13" s="25">
        <f t="shared" si="214"/>
        <v>864</v>
      </c>
      <c r="PS13" s="25">
        <f t="shared" si="215"/>
        <v>2016</v>
      </c>
      <c r="PT13" s="47">
        <f t="shared" ref="PT13:PT17" si="222">PT12</f>
        <v>2</v>
      </c>
      <c r="PU13" s="25">
        <f t="shared" si="216"/>
        <v>210</v>
      </c>
      <c r="PV13" s="47">
        <v>8</v>
      </c>
      <c r="PW13" s="25">
        <f t="shared" si="217"/>
        <v>816000</v>
      </c>
      <c r="PX13" s="2">
        <f t="shared" ref="PX13:PX17" si="223">PX12</f>
        <v>6</v>
      </c>
      <c r="PY13" s="25">
        <f t="shared" si="218"/>
        <v>184000</v>
      </c>
      <c r="PZ13" s="33" t="str">
        <f t="shared" si="219"/>
        <v>7d 23h 56m</v>
      </c>
      <c r="QA13" s="46">
        <f t="shared" ref="QA13:QA17" si="224">QA12</f>
        <v>2</v>
      </c>
      <c r="QB13" s="25">
        <f t="shared" si="220"/>
        <v>691000</v>
      </c>
    </row>
    <row r="14" spans="1:444">
      <c r="A14" s="23">
        <f t="shared" si="134"/>
        <v>12</v>
      </c>
      <c r="B14" s="5">
        <v>1</v>
      </c>
      <c r="C14" s="47">
        <v>0</v>
      </c>
      <c r="D14" s="25">
        <f>IF(B14,baseBetterNumbers(C14*$CY14),IF(A14-1,D13,0))</f>
        <v>0</v>
      </c>
      <c r="E14" s="25">
        <f t="shared" si="135"/>
        <v>0</v>
      </c>
      <c r="F14" s="47">
        <v>1</v>
      </c>
      <c r="G14" s="25">
        <f>IF(B14,baseBetterNumbers(F14*$DB14),IF(A14-1,G13,0))</f>
        <v>136</v>
      </c>
      <c r="H14" s="47">
        <v>4</v>
      </c>
      <c r="I14" s="25">
        <f>IF(B14,baseBetterNumbers(H14*$DD14),IF(A14-1,I13,0))</f>
        <v>816000</v>
      </c>
      <c r="J14" s="2">
        <v>3</v>
      </c>
      <c r="K14" s="25">
        <f>IF(B14,baseBetterNumbers(J14*$DG14),IF(A14-1,K13,0))</f>
        <v>138000</v>
      </c>
      <c r="L14" s="33" t="str">
        <f t="shared" si="11"/>
        <v>4d 9h 33m</v>
      </c>
      <c r="M14" s="46">
        <v>1</v>
      </c>
      <c r="N14" s="25">
        <f>IF(B14,baseBetterNumbers(M14*$DK14),IF(A14-1,N13,0))</f>
        <v>380000</v>
      </c>
      <c r="O14" s="7">
        <f t="shared" si="136"/>
        <v>0.5</v>
      </c>
      <c r="P14" s="3">
        <f>baseBetterNumbers(O14*EC14)</f>
        <v>520000</v>
      </c>
      <c r="Q14" s="3">
        <f>baseBetterNumbers(O14*FN14)</f>
        <v>520000</v>
      </c>
      <c r="R14" s="3">
        <f>baseBetterNumbers(O14*GY14)</f>
        <v>417000</v>
      </c>
      <c r="S14" s="3">
        <v>40</v>
      </c>
      <c r="T14" s="38">
        <v>6.4999999999999997E-3</v>
      </c>
      <c r="U14" s="38">
        <v>5.9999999999999995E-4</v>
      </c>
      <c r="V14" s="38">
        <v>5.9999999999999995E-4</v>
      </c>
      <c r="W14" s="38">
        <v>5.9999999999999995E-4</v>
      </c>
      <c r="X14" s="3">
        <v>1</v>
      </c>
      <c r="Y14" s="3"/>
      <c r="Z14" s="3"/>
      <c r="AA14" s="3"/>
      <c r="AB14" s="3"/>
      <c r="AC14" s="3"/>
      <c r="AD14" s="3" t="e">
        <f>-AC14+E14+AJ14*DR14+AL14*EI14+AN14*FC14+AP14*FT14+AR14*GN14+AT14*HE14+AV14*HY14+AX14*IO14+AZ14*JG14+BD14*KK14+BF14*KZ14+BH14*LO14+BJ14*MD14+BL14*MS14+BP14*NH14+BR14*NY14+BT14*ON14+BV14*#REF!+BX14*#REF!+BZ14*PS14+#REF!*#REF!+#REF!*#REF!</f>
        <v>#REF!</v>
      </c>
      <c r="AE14" s="3" t="e">
        <f t="shared" si="137"/>
        <v>#REF!</v>
      </c>
      <c r="AF14" s="3"/>
      <c r="AG14" s="3" t="e">
        <f>SUM(AI3:AI14)</f>
        <v>#REF!</v>
      </c>
      <c r="AH14" s="3">
        <f t="shared" si="12"/>
        <v>8</v>
      </c>
      <c r="AI14" s="3" t="e">
        <f>AK14+AM14+AO14+AQ14+AS14+AU14+AW14+AY14+BA14+BE14+BG14+BI14+BK14+BM14+BO14+BQ14+BS14+BU14+BW14+BY14+CA14+#REF!+#REF!</f>
        <v>#REF!</v>
      </c>
      <c r="AJ14" s="3">
        <f>SUM(AK3:AK14)</f>
        <v>3</v>
      </c>
      <c r="AK14" s="3"/>
      <c r="AL14" s="3">
        <f>SUM(AM3:AM14)</f>
        <v>4</v>
      </c>
      <c r="AM14" s="3"/>
      <c r="AN14" s="3">
        <f>SUM(AO3:AO14)</f>
        <v>3</v>
      </c>
      <c r="AO14" s="3"/>
      <c r="AP14" s="3">
        <f>SUM(AQ3:AQ14)</f>
        <v>4</v>
      </c>
      <c r="AQ14" s="3"/>
      <c r="AR14" s="3">
        <f>SUM(AS3:AS14)</f>
        <v>2</v>
      </c>
      <c r="AS14" s="3"/>
      <c r="AT14" s="3">
        <f>SUM(AU3:AU14)</f>
        <v>2</v>
      </c>
      <c r="AU14" s="3"/>
      <c r="AV14" s="3">
        <f>SUM(AW3:AW14)</f>
        <v>4</v>
      </c>
      <c r="AW14" s="3">
        <v>1</v>
      </c>
      <c r="AX14" s="3">
        <f>SUM(AY3:AY14)</f>
        <v>1</v>
      </c>
      <c r="AY14" s="3"/>
      <c r="AZ14" s="3">
        <f>SUM(BA3:BA14)</f>
        <v>1</v>
      </c>
      <c r="BA14" s="3"/>
      <c r="BB14" s="3">
        <f>SUM(BC3:BC14)</f>
        <v>16</v>
      </c>
      <c r="BC14" s="3">
        <v>1</v>
      </c>
      <c r="BD14" s="3">
        <f>SUM(BE3:BE14)</f>
        <v>4</v>
      </c>
      <c r="BE14" s="3"/>
      <c r="BF14" s="3">
        <f>SUM(BG3:BG14)</f>
        <v>2</v>
      </c>
      <c r="BG14" s="3"/>
      <c r="BH14" s="3">
        <f>SUM(BI3:BI14)</f>
        <v>0</v>
      </c>
      <c r="BI14" s="3"/>
      <c r="BJ14" s="3">
        <f>SUM(BK3:BK14)</f>
        <v>2</v>
      </c>
      <c r="BK14" s="3"/>
      <c r="BL14" s="3">
        <f>SUM(BM3:BM14)</f>
        <v>3</v>
      </c>
      <c r="BM14" s="3"/>
      <c r="BN14" s="3">
        <f>SUM(BO3:BO14)</f>
        <v>1</v>
      </c>
      <c r="BO14" s="3"/>
      <c r="BP14" s="3">
        <f>SUM(BQ3:BQ14)</f>
        <v>4</v>
      </c>
      <c r="BQ14" s="3"/>
      <c r="BR14" s="3">
        <f>SUM(BS3:BS14)</f>
        <v>1</v>
      </c>
      <c r="BS14" s="3"/>
      <c r="BT14" s="3">
        <f>SUM(BU3:BU14)</f>
        <v>1</v>
      </c>
      <c r="BU14" s="3"/>
      <c r="BV14" s="3">
        <f>SUM(BW3:BW14)</f>
        <v>1</v>
      </c>
      <c r="BW14" s="3"/>
      <c r="BX14" s="3">
        <f>SUM(BY3:BY14)</f>
        <v>1</v>
      </c>
      <c r="BY14" s="3"/>
      <c r="BZ14" s="3">
        <f>SUM(CA3:CA14)</f>
        <v>1</v>
      </c>
      <c r="CA14" s="3"/>
      <c r="CC14" s="1">
        <f t="shared" si="0"/>
        <v>26880</v>
      </c>
      <c r="CD14" s="1">
        <f t="shared" si="1"/>
        <v>3640000</v>
      </c>
      <c r="CE14" s="1">
        <f t="shared" si="2"/>
        <v>1392000</v>
      </c>
      <c r="CF14" s="12">
        <f t="shared" si="3"/>
        <v>51.785714285714285</v>
      </c>
      <c r="CG14" s="12">
        <f t="shared" si="13"/>
        <v>2.6149425287356323</v>
      </c>
      <c r="CI14" s="1">
        <f t="shared" si="4"/>
        <v>26880</v>
      </c>
      <c r="CJ14" s="1">
        <f t="shared" si="5"/>
        <v>3640000</v>
      </c>
      <c r="CK14" s="1">
        <f t="shared" si="6"/>
        <v>1392000</v>
      </c>
      <c r="CL14" s="12">
        <f t="shared" si="14"/>
        <v>51.785714285714285</v>
      </c>
      <c r="CM14" s="12">
        <f t="shared" si="15"/>
        <v>2.6149425287356323</v>
      </c>
      <c r="CO14" s="1">
        <f t="shared" si="7"/>
        <v>10760</v>
      </c>
      <c r="CP14" s="1">
        <f t="shared" si="8"/>
        <v>2085000</v>
      </c>
      <c r="CQ14" s="1">
        <f t="shared" si="9"/>
        <v>556000</v>
      </c>
      <c r="CR14" s="12">
        <f t="shared" si="16"/>
        <v>51.6728624535316</v>
      </c>
      <c r="CS14" s="12">
        <f t="shared" si="17"/>
        <v>3.75</v>
      </c>
      <c r="CV14" s="8">
        <f t="shared" si="18"/>
        <v>12</v>
      </c>
      <c r="CW14" s="5">
        <v>1</v>
      </c>
      <c r="CX14" s="45">
        <v>0.125</v>
      </c>
      <c r="CY14" s="25">
        <f t="shared" si="10"/>
        <v>475</v>
      </c>
      <c r="CZ14" s="25">
        <f t="shared" si="19"/>
        <v>3132</v>
      </c>
      <c r="DA14" s="47">
        <f t="shared" si="211"/>
        <v>1.3</v>
      </c>
      <c r="DB14" s="3">
        <f t="shared" si="20"/>
        <v>136</v>
      </c>
      <c r="DC14" s="3">
        <f t="shared" si="182"/>
        <v>2</v>
      </c>
      <c r="DD14" s="3">
        <f t="shared" si="21"/>
        <v>204000</v>
      </c>
      <c r="DE14" s="20">
        <f t="shared" si="22"/>
        <v>5.6043956043956046E-2</v>
      </c>
      <c r="DF14" s="2">
        <f t="shared" ref="DF14:DF17" si="225">DF13</f>
        <v>1.5</v>
      </c>
      <c r="DG14" s="3">
        <f t="shared" si="202"/>
        <v>45900</v>
      </c>
      <c r="DH14" s="20">
        <f t="shared" si="198"/>
        <v>2.2014388489208635E-2</v>
      </c>
      <c r="DI14" s="33" t="str">
        <f t="shared" si="23"/>
        <v>4d 9h 36m</v>
      </c>
      <c r="DJ14" s="46">
        <v>1.1000000000000001</v>
      </c>
      <c r="DK14" s="28">
        <f t="shared" si="24"/>
        <v>380160.00000000006</v>
      </c>
      <c r="DN14" s="8">
        <f t="shared" si="139"/>
        <v>12</v>
      </c>
      <c r="DO14" s="5">
        <v>1</v>
      </c>
      <c r="DP14" s="47">
        <v>1</v>
      </c>
      <c r="DQ14" s="25">
        <f t="shared" si="25"/>
        <v>475</v>
      </c>
      <c r="DR14" s="25">
        <f t="shared" si="140"/>
        <v>3132</v>
      </c>
      <c r="DS14" s="47">
        <v>1</v>
      </c>
      <c r="DT14" s="25">
        <f t="shared" si="26"/>
        <v>136</v>
      </c>
      <c r="DU14" s="47">
        <v>1</v>
      </c>
      <c r="DV14" s="25">
        <f t="shared" si="27"/>
        <v>204000</v>
      </c>
      <c r="DW14" s="2">
        <v>1</v>
      </c>
      <c r="DX14" s="25">
        <f t="shared" si="28"/>
        <v>45900</v>
      </c>
      <c r="DY14" s="33" t="str">
        <f t="shared" si="29"/>
        <v>4d 9h 33m</v>
      </c>
      <c r="DZ14" s="46">
        <v>1</v>
      </c>
      <c r="EA14" s="25">
        <f t="shared" si="30"/>
        <v>380000</v>
      </c>
      <c r="EB14" s="45">
        <v>3</v>
      </c>
      <c r="EC14" s="1">
        <f t="shared" si="31"/>
        <v>1040000</v>
      </c>
      <c r="ED14" s="3"/>
      <c r="EE14" s="8">
        <f t="shared" si="141"/>
        <v>12</v>
      </c>
      <c r="EF14" s="5">
        <v>1</v>
      </c>
      <c r="EG14" s="47">
        <v>1</v>
      </c>
      <c r="EH14" s="25">
        <f t="shared" si="32"/>
        <v>475</v>
      </c>
      <c r="EI14" s="25">
        <f t="shared" si="142"/>
        <v>3132</v>
      </c>
      <c r="EJ14" s="47">
        <v>1</v>
      </c>
      <c r="EK14" s="25">
        <f t="shared" si="33"/>
        <v>136</v>
      </c>
      <c r="EL14" s="47">
        <v>0.5</v>
      </c>
      <c r="EM14" s="25">
        <f t="shared" si="34"/>
        <v>102000</v>
      </c>
      <c r="EN14" s="2">
        <v>1</v>
      </c>
      <c r="EO14" s="25">
        <f t="shared" si="35"/>
        <v>45900</v>
      </c>
      <c r="EP14" s="33" t="str">
        <f t="shared" si="36"/>
        <v>4d 9h 33m</v>
      </c>
      <c r="EQ14" s="46">
        <v>1</v>
      </c>
      <c r="ER14" s="25">
        <f t="shared" si="37"/>
        <v>380000</v>
      </c>
      <c r="ES14" s="45">
        <f>ES13</f>
        <v>1.2</v>
      </c>
      <c r="ET14" s="3">
        <f t="shared" si="38"/>
        <v>6720</v>
      </c>
      <c r="EU14" s="7">
        <v>1.3</v>
      </c>
      <c r="EV14" s="3">
        <f t="shared" si="39"/>
        <v>348000</v>
      </c>
      <c r="EW14" s="6" t="str">
        <f t="shared" si="40"/>
        <v>2d 3h 47m</v>
      </c>
      <c r="EY14" s="8">
        <f t="shared" si="143"/>
        <v>12</v>
      </c>
      <c r="EZ14" s="5">
        <v>1</v>
      </c>
      <c r="FA14" s="47">
        <v>1</v>
      </c>
      <c r="FB14" s="25">
        <f t="shared" si="41"/>
        <v>475</v>
      </c>
      <c r="FC14" s="25">
        <f t="shared" si="144"/>
        <v>3132</v>
      </c>
      <c r="FD14" s="47">
        <v>1</v>
      </c>
      <c r="FE14" s="25">
        <f t="shared" si="42"/>
        <v>136</v>
      </c>
      <c r="FF14" s="47">
        <v>1</v>
      </c>
      <c r="FG14" s="25">
        <f t="shared" si="43"/>
        <v>204000</v>
      </c>
      <c r="FH14" s="2">
        <v>1</v>
      </c>
      <c r="FI14" s="25">
        <f t="shared" si="44"/>
        <v>45900</v>
      </c>
      <c r="FJ14" s="33" t="str">
        <f t="shared" si="45"/>
        <v>4d 9h 33m</v>
      </c>
      <c r="FK14" s="46">
        <v>1</v>
      </c>
      <c r="FL14" s="25">
        <f t="shared" si="46"/>
        <v>380000</v>
      </c>
      <c r="FM14" s="45">
        <v>3</v>
      </c>
      <c r="FN14" s="1">
        <f t="shared" si="47"/>
        <v>1040000</v>
      </c>
      <c r="FO14" s="3"/>
      <c r="FP14" s="8">
        <f t="shared" si="145"/>
        <v>12</v>
      </c>
      <c r="FQ14" s="5">
        <v>1</v>
      </c>
      <c r="FR14" s="47">
        <v>1</v>
      </c>
      <c r="FS14" s="25">
        <f t="shared" si="48"/>
        <v>475</v>
      </c>
      <c r="FT14" s="25">
        <f t="shared" si="146"/>
        <v>3132</v>
      </c>
      <c r="FU14" s="47">
        <v>1</v>
      </c>
      <c r="FV14" s="25">
        <f t="shared" si="49"/>
        <v>136</v>
      </c>
      <c r="FW14" s="47">
        <v>0.5</v>
      </c>
      <c r="FX14" s="25">
        <f t="shared" si="50"/>
        <v>102000</v>
      </c>
      <c r="FY14" s="2">
        <v>1</v>
      </c>
      <c r="FZ14" s="25">
        <f t="shared" si="51"/>
        <v>45900</v>
      </c>
      <c r="GA14" s="33" t="str">
        <f t="shared" si="52"/>
        <v>4d 9h 33m</v>
      </c>
      <c r="GB14" s="46">
        <v>1</v>
      </c>
      <c r="GC14" s="25">
        <f t="shared" si="53"/>
        <v>380000</v>
      </c>
      <c r="GD14" s="45">
        <f>GD13</f>
        <v>1.2</v>
      </c>
      <c r="GE14" s="3">
        <f t="shared" si="54"/>
        <v>6720</v>
      </c>
      <c r="GF14" s="7">
        <v>1.3</v>
      </c>
      <c r="GG14" s="3">
        <f t="shared" si="55"/>
        <v>348000</v>
      </c>
      <c r="GH14" s="6" t="str">
        <f t="shared" si="56"/>
        <v>2d 3h 47m</v>
      </c>
      <c r="GJ14" s="8">
        <f t="shared" si="147"/>
        <v>6</v>
      </c>
      <c r="GK14" s="5">
        <v>1</v>
      </c>
      <c r="GL14" s="47">
        <v>1</v>
      </c>
      <c r="GM14" s="25">
        <f t="shared" si="57"/>
        <v>475</v>
      </c>
      <c r="GN14" s="25">
        <f t="shared" si="148"/>
        <v>2923</v>
      </c>
      <c r="GO14" s="47">
        <v>1</v>
      </c>
      <c r="GP14" s="25">
        <f t="shared" si="58"/>
        <v>136</v>
      </c>
      <c r="GQ14" s="47">
        <v>1.2</v>
      </c>
      <c r="GR14" s="25">
        <f t="shared" si="59"/>
        <v>245000</v>
      </c>
      <c r="GS14" s="2">
        <v>1</v>
      </c>
      <c r="GT14" s="25">
        <f t="shared" si="60"/>
        <v>45900</v>
      </c>
      <c r="GU14" s="33" t="str">
        <f t="shared" si="61"/>
        <v>4d 9h 33m</v>
      </c>
      <c r="GV14" s="46">
        <v>1</v>
      </c>
      <c r="GW14" s="25">
        <f t="shared" si="62"/>
        <v>380000</v>
      </c>
      <c r="GX14" s="45">
        <v>3</v>
      </c>
      <c r="GY14" s="1">
        <f t="shared" si="63"/>
        <v>834000</v>
      </c>
      <c r="GZ14" s="3"/>
      <c r="HA14" s="8">
        <f t="shared" si="149"/>
        <v>6</v>
      </c>
      <c r="HB14" s="5">
        <v>1</v>
      </c>
      <c r="HC14" s="47">
        <v>1</v>
      </c>
      <c r="HD14" s="25">
        <f t="shared" si="64"/>
        <v>475</v>
      </c>
      <c r="HE14" s="25">
        <f t="shared" si="150"/>
        <v>2923</v>
      </c>
      <c r="HF14" s="47">
        <v>1</v>
      </c>
      <c r="HG14" s="25">
        <f t="shared" si="65"/>
        <v>136</v>
      </c>
      <c r="HH14" s="47">
        <v>0.5</v>
      </c>
      <c r="HI14" s="25">
        <f t="shared" si="66"/>
        <v>102000</v>
      </c>
      <c r="HJ14" s="2">
        <v>1</v>
      </c>
      <c r="HK14" s="25">
        <f t="shared" si="67"/>
        <v>45900</v>
      </c>
      <c r="HL14" s="33" t="str">
        <f t="shared" si="68"/>
        <v>4d 9h 33m</v>
      </c>
      <c r="HM14" s="46">
        <v>1</v>
      </c>
      <c r="HN14" s="25">
        <f t="shared" si="69"/>
        <v>380000</v>
      </c>
      <c r="HO14" s="45">
        <v>0.8</v>
      </c>
      <c r="HP14" s="3">
        <f t="shared" si="199"/>
        <v>5380</v>
      </c>
      <c r="HQ14" s="7">
        <v>0.8</v>
      </c>
      <c r="HR14" s="3">
        <f t="shared" si="200"/>
        <v>278000</v>
      </c>
      <c r="HS14" s="6" t="str">
        <f t="shared" si="70"/>
        <v>2d 3h 40m</v>
      </c>
      <c r="HU14" s="8">
        <f t="shared" si="151"/>
        <v>12</v>
      </c>
      <c r="HV14" s="5">
        <v>1</v>
      </c>
      <c r="HW14" s="47">
        <v>1</v>
      </c>
      <c r="HX14" s="25">
        <f t="shared" si="71"/>
        <v>475</v>
      </c>
      <c r="HY14" s="25">
        <f t="shared" si="152"/>
        <v>3132</v>
      </c>
      <c r="HZ14" s="47">
        <v>2</v>
      </c>
      <c r="IA14" s="25">
        <f t="shared" si="72"/>
        <v>272</v>
      </c>
      <c r="IB14" s="47">
        <v>2.5</v>
      </c>
      <c r="IC14" s="25">
        <f t="shared" si="73"/>
        <v>510000</v>
      </c>
      <c r="ID14" s="2">
        <v>2.5</v>
      </c>
      <c r="IE14" s="25">
        <f t="shared" si="74"/>
        <v>115000</v>
      </c>
      <c r="IF14" s="33" t="str">
        <f t="shared" si="75"/>
        <v>8d 19h 6m</v>
      </c>
      <c r="IG14" s="46">
        <v>2</v>
      </c>
      <c r="IH14" s="25">
        <f t="shared" si="76"/>
        <v>760000</v>
      </c>
      <c r="IK14" s="8">
        <f t="shared" si="153"/>
        <v>8</v>
      </c>
      <c r="IL14" s="5">
        <v>1</v>
      </c>
      <c r="IM14" s="47">
        <v>1</v>
      </c>
      <c r="IN14" s="25">
        <f t="shared" si="77"/>
        <v>475</v>
      </c>
      <c r="IO14" s="25">
        <f t="shared" si="154"/>
        <v>3067</v>
      </c>
      <c r="IP14" s="47">
        <v>3</v>
      </c>
      <c r="IQ14" s="25">
        <f t="shared" si="78"/>
        <v>408</v>
      </c>
      <c r="IR14" s="47">
        <v>6</v>
      </c>
      <c r="IS14" s="25">
        <f t="shared" si="79"/>
        <v>1220000</v>
      </c>
      <c r="IT14" s="2">
        <v>3</v>
      </c>
      <c r="IU14" s="25">
        <f t="shared" si="80"/>
        <v>138000</v>
      </c>
      <c r="IV14" s="33" t="str">
        <f t="shared" si="81"/>
        <v>8d 19h 6m</v>
      </c>
      <c r="IW14" s="46">
        <v>2</v>
      </c>
      <c r="IX14" s="25">
        <f t="shared" si="82"/>
        <v>760000</v>
      </c>
      <c r="IY14" s="25">
        <v>17</v>
      </c>
      <c r="IZ14" s="25">
        <v>11</v>
      </c>
      <c r="JA14" s="25">
        <v>0</v>
      </c>
      <c r="JB14" s="7"/>
      <c r="JC14" s="8">
        <f t="shared" si="155"/>
        <v>7</v>
      </c>
      <c r="JD14" s="5">
        <v>1</v>
      </c>
      <c r="JE14" s="47">
        <v>1</v>
      </c>
      <c r="JF14" s="25">
        <f t="shared" si="83"/>
        <v>475</v>
      </c>
      <c r="JG14" s="25">
        <f t="shared" si="156"/>
        <v>2995</v>
      </c>
      <c r="JH14" s="47">
        <v>0.5</v>
      </c>
      <c r="JI14" s="25">
        <f t="shared" si="84"/>
        <v>68</v>
      </c>
      <c r="JJ14" s="47">
        <v>2.5</v>
      </c>
      <c r="JK14" s="25">
        <f t="shared" si="85"/>
        <v>510000</v>
      </c>
      <c r="JL14" s="2">
        <v>2.5</v>
      </c>
      <c r="JM14" s="25">
        <f t="shared" si="86"/>
        <v>115000</v>
      </c>
      <c r="JN14" s="33" t="str">
        <f t="shared" si="87"/>
        <v>6d 14h 20m</v>
      </c>
      <c r="JO14" s="46">
        <v>1.5</v>
      </c>
      <c r="JP14" s="25">
        <f t="shared" si="88"/>
        <v>570000</v>
      </c>
      <c r="JQ14" s="7"/>
      <c r="JR14" s="8">
        <f t="shared" si="89"/>
        <v>1</v>
      </c>
      <c r="JS14" s="5">
        <v>0</v>
      </c>
      <c r="JT14" s="47">
        <v>1</v>
      </c>
      <c r="JU14" s="25">
        <f t="shared" si="90"/>
        <v>0</v>
      </c>
      <c r="JV14" s="25">
        <f t="shared" si="157"/>
        <v>0</v>
      </c>
      <c r="JW14" s="47">
        <v>1</v>
      </c>
      <c r="JX14" s="25">
        <f t="shared" si="91"/>
        <v>0</v>
      </c>
      <c r="JY14" s="47">
        <v>1.5</v>
      </c>
      <c r="JZ14" s="25">
        <f>IF(JS14,baseBetterNumbers(JY14*$DD14),IF(JR14-1,JZ13,0))</f>
        <v>0</v>
      </c>
      <c r="KA14" s="2">
        <v>1.5</v>
      </c>
      <c r="KB14" s="25">
        <f t="shared" si="92"/>
        <v>0</v>
      </c>
      <c r="KC14" s="33" t="str">
        <f t="shared" si="93"/>
        <v>0h 0m</v>
      </c>
      <c r="KD14" s="46">
        <v>1</v>
      </c>
      <c r="KE14" s="25">
        <f t="shared" si="94"/>
        <v>0</v>
      </c>
      <c r="KF14" s="7"/>
      <c r="KG14" s="8">
        <f t="shared" si="158"/>
        <v>12</v>
      </c>
      <c r="KH14" s="5">
        <v>1</v>
      </c>
      <c r="KI14" s="47">
        <v>1</v>
      </c>
      <c r="KJ14" s="25">
        <f t="shared" si="95"/>
        <v>475</v>
      </c>
      <c r="KK14" s="25">
        <f t="shared" si="159"/>
        <v>3132</v>
      </c>
      <c r="KL14" s="47">
        <v>1</v>
      </c>
      <c r="KM14" s="25">
        <f t="shared" si="96"/>
        <v>136</v>
      </c>
      <c r="KN14" s="47">
        <v>1.5</v>
      </c>
      <c r="KO14" s="25">
        <f t="shared" si="97"/>
        <v>306000</v>
      </c>
      <c r="KP14" s="2">
        <v>1.5</v>
      </c>
      <c r="KQ14" s="25">
        <f t="shared" si="98"/>
        <v>68800</v>
      </c>
      <c r="KR14" s="33" t="str">
        <f t="shared" si="99"/>
        <v>4d 9h 33m</v>
      </c>
      <c r="KS14" s="46">
        <v>1</v>
      </c>
      <c r="KT14" s="25">
        <f t="shared" si="100"/>
        <v>380000</v>
      </c>
      <c r="KU14" s="7"/>
      <c r="KV14" s="8">
        <f t="shared" si="160"/>
        <v>5</v>
      </c>
      <c r="KW14" s="5">
        <v>1</v>
      </c>
      <c r="KX14" s="47">
        <v>1</v>
      </c>
      <c r="KY14" s="25">
        <f t="shared" si="101"/>
        <v>475</v>
      </c>
      <c r="KZ14" s="25">
        <f t="shared" si="161"/>
        <v>2779</v>
      </c>
      <c r="LA14" s="47">
        <v>1.5</v>
      </c>
      <c r="LB14" s="25">
        <f t="shared" si="102"/>
        <v>204</v>
      </c>
      <c r="LC14" s="47">
        <v>1.5</v>
      </c>
      <c r="LD14" s="25">
        <f t="shared" si="103"/>
        <v>306000</v>
      </c>
      <c r="LE14" s="2">
        <v>1.5</v>
      </c>
      <c r="LF14" s="25">
        <f t="shared" si="162"/>
        <v>68800</v>
      </c>
      <c r="LG14" s="33" t="str">
        <f t="shared" si="104"/>
        <v>4d 9h 33m</v>
      </c>
      <c r="LH14" s="46">
        <v>1</v>
      </c>
      <c r="LI14" s="25">
        <f t="shared" si="105"/>
        <v>380000</v>
      </c>
      <c r="LJ14" s="7"/>
      <c r="LK14" s="8">
        <f t="shared" si="163"/>
        <v>0</v>
      </c>
      <c r="LL14" s="5">
        <v>0</v>
      </c>
      <c r="LM14" s="47">
        <v>1</v>
      </c>
      <c r="LN14" s="25">
        <f t="shared" si="106"/>
        <v>0</v>
      </c>
      <c r="LO14" s="25">
        <f t="shared" si="164"/>
        <v>0</v>
      </c>
      <c r="LP14" s="47">
        <v>1.5</v>
      </c>
      <c r="LQ14" s="25">
        <f t="shared" si="107"/>
        <v>0</v>
      </c>
      <c r="LR14" s="47">
        <v>1.5</v>
      </c>
      <c r="LS14" s="25">
        <f t="shared" si="108"/>
        <v>0</v>
      </c>
      <c r="LT14" s="2">
        <v>1.5</v>
      </c>
      <c r="LU14" s="25">
        <f t="shared" si="165"/>
        <v>0</v>
      </c>
      <c r="LV14" s="33" t="str">
        <f t="shared" si="109"/>
        <v>0h 0m</v>
      </c>
      <c r="LW14" s="46">
        <v>1</v>
      </c>
      <c r="LX14" s="25">
        <f t="shared" si="110"/>
        <v>0</v>
      </c>
      <c r="LY14" s="7"/>
      <c r="LZ14" s="8">
        <f t="shared" si="166"/>
        <v>4</v>
      </c>
      <c r="MA14" s="5">
        <v>1</v>
      </c>
      <c r="MB14" s="47">
        <v>1</v>
      </c>
      <c r="MC14" s="25">
        <f t="shared" si="111"/>
        <v>475</v>
      </c>
      <c r="MD14" s="25">
        <f t="shared" si="167"/>
        <v>2491</v>
      </c>
      <c r="ME14" s="47">
        <v>0.2</v>
      </c>
      <c r="MF14" s="25">
        <f t="shared" si="112"/>
        <v>27</v>
      </c>
      <c r="MG14" s="47">
        <v>3</v>
      </c>
      <c r="MH14" s="25">
        <f t="shared" si="113"/>
        <v>612000</v>
      </c>
      <c r="MI14" s="2">
        <v>3</v>
      </c>
      <c r="MJ14" s="25">
        <f t="shared" si="168"/>
        <v>138000</v>
      </c>
      <c r="MK14" s="33" t="str">
        <f t="shared" si="114"/>
        <v>6d 14h 20m</v>
      </c>
      <c r="ML14" s="46">
        <v>1.5</v>
      </c>
      <c r="MM14" s="25">
        <f t="shared" si="115"/>
        <v>570000</v>
      </c>
      <c r="MN14" s="7"/>
      <c r="MO14" s="8">
        <f t="shared" si="169"/>
        <v>10</v>
      </c>
      <c r="MP14" s="5">
        <v>1</v>
      </c>
      <c r="MQ14" s="47">
        <v>1</v>
      </c>
      <c r="MR14" s="25">
        <f t="shared" si="116"/>
        <v>475</v>
      </c>
      <c r="MS14" s="25">
        <f t="shared" si="170"/>
        <v>3121</v>
      </c>
      <c r="MT14" s="47">
        <v>1.5</v>
      </c>
      <c r="MU14" s="25">
        <f t="shared" si="117"/>
        <v>204</v>
      </c>
      <c r="MV14" s="47">
        <v>2.5</v>
      </c>
      <c r="MW14" s="25">
        <f t="shared" si="118"/>
        <v>510000</v>
      </c>
      <c r="MX14" s="2">
        <v>3</v>
      </c>
      <c r="MY14" s="25">
        <f t="shared" si="171"/>
        <v>138000</v>
      </c>
      <c r="MZ14" s="33" t="str">
        <f t="shared" si="119"/>
        <v>6d 14h 20m</v>
      </c>
      <c r="NA14" s="46">
        <v>1.5</v>
      </c>
      <c r="NB14" s="25">
        <f t="shared" si="120"/>
        <v>570000</v>
      </c>
      <c r="NC14" s="7"/>
      <c r="ND14" s="8">
        <f t="shared" si="172"/>
        <v>11</v>
      </c>
      <c r="NE14" s="5">
        <v>1</v>
      </c>
      <c r="NF14" s="47">
        <v>1</v>
      </c>
      <c r="NG14" s="25">
        <f t="shared" si="121"/>
        <v>475</v>
      </c>
      <c r="NH14" s="25">
        <f t="shared" si="173"/>
        <v>3130</v>
      </c>
      <c r="NI14" s="47">
        <v>2.5</v>
      </c>
      <c r="NJ14" s="25">
        <f>IF(NE14,baseBetterNumbers(NI14*$DD14),IF(ND14,NJ13,0))</f>
        <v>510000</v>
      </c>
      <c r="NK14" s="2">
        <v>3</v>
      </c>
      <c r="NL14" s="25">
        <f>IF(NE14,baseBetterNumbers(NK14*$DG14),IF(ND14-1,NL13,0))</f>
        <v>138000</v>
      </c>
      <c r="NM14" s="33" t="str">
        <f t="shared" si="122"/>
        <v>6d 14h 20m</v>
      </c>
      <c r="NN14" s="46">
        <v>1.5</v>
      </c>
      <c r="NO14" s="25">
        <f>IF(NE14,baseBetterNumbers(NN14*$DK14),IF(ND14,NO13,0))</f>
        <v>570000</v>
      </c>
      <c r="NP14" s="47">
        <v>1.3</v>
      </c>
      <c r="NQ14" s="25">
        <f t="shared" si="188"/>
        <v>1682.1043199999999</v>
      </c>
      <c r="NR14" s="1">
        <f t="shared" si="123"/>
        <v>6728.4172799999997</v>
      </c>
      <c r="NS14" s="1" t="e">
        <f>G14+AJ14*DT14+AL14*EK14+AN14*FE14+AP14*FV14+AR14*GP14+AT14*HG14+AV14*IA14+AX14*IQ14+AZ14*JI14+BD14*KM14+BF14*LB14+BH14*LQ14+BJ14*MF14+BL14*MU14+BR14*OA14+BT14*OP14+BV14*#REF!+BX14*#REF!+BZ14*PU14+#REF!*#REF!+#REF!*#REF!</f>
        <v>#REF!</v>
      </c>
      <c r="NU14" s="8">
        <f t="shared" si="174"/>
        <v>9</v>
      </c>
      <c r="NV14" s="5">
        <v>1</v>
      </c>
      <c r="NW14" s="47">
        <v>1</v>
      </c>
      <c r="NX14" s="25">
        <f t="shared" si="124"/>
        <v>475</v>
      </c>
      <c r="NY14" s="25">
        <f t="shared" si="175"/>
        <v>3103</v>
      </c>
      <c r="NZ14" s="47">
        <v>2</v>
      </c>
      <c r="OA14" s="25">
        <f t="shared" si="125"/>
        <v>272</v>
      </c>
      <c r="OB14" s="47">
        <v>6</v>
      </c>
      <c r="OC14" s="25">
        <f t="shared" si="126"/>
        <v>1220000</v>
      </c>
      <c r="OD14" s="2">
        <v>4</v>
      </c>
      <c r="OE14" s="25">
        <f t="shared" si="176"/>
        <v>184000</v>
      </c>
      <c r="OF14" s="33" t="str">
        <f t="shared" si="127"/>
        <v>8d 19h 6m</v>
      </c>
      <c r="OG14" s="46">
        <v>2</v>
      </c>
      <c r="OH14" s="25">
        <f t="shared" si="128"/>
        <v>760000</v>
      </c>
      <c r="OI14" s="7"/>
      <c r="OJ14" s="8">
        <f t="shared" si="177"/>
        <v>9</v>
      </c>
      <c r="OK14" s="5">
        <v>1</v>
      </c>
      <c r="OL14" s="47">
        <v>1</v>
      </c>
      <c r="OM14" s="25">
        <f t="shared" si="129"/>
        <v>475</v>
      </c>
      <c r="ON14" s="25">
        <f t="shared" si="178"/>
        <v>3103</v>
      </c>
      <c r="OO14" s="47">
        <v>2</v>
      </c>
      <c r="OP14" s="25">
        <f t="shared" si="130"/>
        <v>272</v>
      </c>
      <c r="OQ14" s="47">
        <v>8</v>
      </c>
      <c r="OR14" s="25">
        <f t="shared" si="131"/>
        <v>1630000</v>
      </c>
      <c r="OS14" s="2">
        <v>4</v>
      </c>
      <c r="OT14" s="25">
        <f t="shared" si="179"/>
        <v>184000</v>
      </c>
      <c r="OU14" s="33" t="str">
        <f t="shared" si="132"/>
        <v>13d 4h 40m</v>
      </c>
      <c r="OV14" s="46">
        <v>3</v>
      </c>
      <c r="OW14" s="25">
        <f t="shared" si="133"/>
        <v>1140000</v>
      </c>
      <c r="OX14" s="82">
        <f t="shared" si="194"/>
        <v>0.34999999999999987</v>
      </c>
      <c r="OY14" s="82">
        <v>0.5</v>
      </c>
      <c r="OZ14" s="78" t="str">
        <f t="shared" si="191"/>
        <v>5h 0m</v>
      </c>
      <c r="PA14" s="25">
        <v>18000</v>
      </c>
      <c r="PB14" s="47">
        <v>1.5</v>
      </c>
      <c r="PC14" s="25">
        <f>baseBetterNumbers(DD14*PB14)</f>
        <v>306000</v>
      </c>
      <c r="PD14" s="82">
        <f t="shared" si="195"/>
        <v>0.85000000000000031</v>
      </c>
      <c r="PE14" s="82">
        <f t="shared" si="204"/>
        <v>0.17499999999999999</v>
      </c>
      <c r="PF14" s="25">
        <v>0</v>
      </c>
      <c r="PG14" s="78" t="str">
        <f t="shared" si="192"/>
        <v>20h 0m</v>
      </c>
      <c r="PH14" s="25">
        <f t="shared" si="193"/>
        <v>72000</v>
      </c>
      <c r="PI14" s="47">
        <v>10</v>
      </c>
      <c r="PJ14" s="25">
        <f>baseBetterNumbers(DD14*PI14)</f>
        <v>2040000</v>
      </c>
      <c r="PK14" s="82">
        <v>1</v>
      </c>
      <c r="PL14" s="82">
        <f t="shared" si="196"/>
        <v>0.65</v>
      </c>
      <c r="PM14" s="82">
        <f t="shared" si="201"/>
        <v>0.19999999999999998</v>
      </c>
      <c r="PN14" s="25"/>
      <c r="PO14" s="8">
        <f t="shared" si="213"/>
        <v>4</v>
      </c>
      <c r="PP14" s="5">
        <v>1</v>
      </c>
      <c r="PQ14" s="47">
        <v>1</v>
      </c>
      <c r="PR14" s="25">
        <f t="shared" si="214"/>
        <v>475</v>
      </c>
      <c r="PS14" s="25">
        <f t="shared" si="215"/>
        <v>2491</v>
      </c>
      <c r="PT14" s="47">
        <f t="shared" si="222"/>
        <v>2</v>
      </c>
      <c r="PU14" s="25">
        <f t="shared" si="216"/>
        <v>272</v>
      </c>
      <c r="PV14" s="47">
        <f t="shared" ref="PV14:PV16" si="226">PV13</f>
        <v>8</v>
      </c>
      <c r="PW14" s="25">
        <f t="shared" si="217"/>
        <v>1630000</v>
      </c>
      <c r="PX14" s="2">
        <f t="shared" si="223"/>
        <v>6</v>
      </c>
      <c r="PY14" s="25">
        <f t="shared" si="218"/>
        <v>275000</v>
      </c>
      <c r="PZ14" s="33" t="str">
        <f t="shared" si="219"/>
        <v>8d 19h 6m</v>
      </c>
      <c r="QA14" s="46">
        <v>2</v>
      </c>
      <c r="QB14" s="25">
        <f t="shared" si="220"/>
        <v>760000</v>
      </c>
    </row>
    <row r="15" spans="1:444">
      <c r="A15" s="23">
        <f t="shared" si="134"/>
        <v>13</v>
      </c>
      <c r="B15" s="8">
        <v>1</v>
      </c>
      <c r="C15" s="47">
        <v>0</v>
      </c>
      <c r="D15" s="25">
        <f>IF(B15,baseBetterNumbers(C15*$CY15),IF(A15-1,D14,0))</f>
        <v>0</v>
      </c>
      <c r="E15" s="25">
        <f t="shared" si="135"/>
        <v>0</v>
      </c>
      <c r="F15" s="47">
        <v>1</v>
      </c>
      <c r="G15" s="25">
        <f>IF(B15,baseBetterNumbers(F15*$DB15),IF(A15-1,G14,0))</f>
        <v>177</v>
      </c>
      <c r="H15" s="47">
        <v>4</v>
      </c>
      <c r="I15" s="25">
        <f>IF(B15,baseBetterNumbers(H15*$DD15),IF(A15-1,I14,0))</f>
        <v>1630000</v>
      </c>
      <c r="J15" s="2">
        <v>3</v>
      </c>
      <c r="K15" s="25">
        <f>IF(B15,baseBetterNumbers(J15*$DG15),IF(A15-1,K14,0))</f>
        <v>206000</v>
      </c>
      <c r="L15" s="33" t="str">
        <f t="shared" si="11"/>
        <v>4d 20h 6m</v>
      </c>
      <c r="M15" s="46">
        <v>1</v>
      </c>
      <c r="N15" s="25">
        <f>IF(B15,baseBetterNumbers(M15*$DK15),IF(A15-1,N14,0))</f>
        <v>418000</v>
      </c>
      <c r="O15" s="7">
        <f t="shared" si="136"/>
        <v>0.5</v>
      </c>
      <c r="P15" s="3">
        <f>baseBetterNumbers(O15*EC15)</f>
        <v>680000</v>
      </c>
      <c r="Q15" s="3">
        <f>baseBetterNumbers(O15*FN15)</f>
        <v>680000</v>
      </c>
      <c r="R15" s="3">
        <f>baseBetterNumbers(O15*GY15)</f>
        <v>545000</v>
      </c>
      <c r="S15" s="3">
        <v>40</v>
      </c>
      <c r="T15" s="38">
        <v>7.0000000000000001E-3</v>
      </c>
      <c r="U15" s="38">
        <v>6.4999999999999997E-4</v>
      </c>
      <c r="V15" s="38">
        <v>6.4999999999999997E-4</v>
      </c>
      <c r="W15" s="38">
        <v>6.4999999999999997E-4</v>
      </c>
      <c r="X15" s="3">
        <v>1</v>
      </c>
      <c r="Y15" s="3"/>
      <c r="Z15" s="3"/>
      <c r="AA15" s="3"/>
      <c r="AB15" s="3"/>
      <c r="AC15" s="3"/>
      <c r="AD15" s="3" t="e">
        <f>-AC15+E15+AJ15*DR15+AL15*EI15+AN15*FC15+AP15*FT15+AR15*GN15+AT15*HE15+AV15*HY15+AX15*IO15+AZ15*JG15+BD15*KK15+BF15*KZ15+BH15*LO15+BJ15*MD15+BL15*MS15+BP15*NH15+BR15*NY15+BT15*ON15+BV15*#REF!+BX15*#REF!+BZ15*PS15+#REF!*#REF!+#REF!*#REF!</f>
        <v>#REF!</v>
      </c>
      <c r="AE15" s="3" t="e">
        <f t="shared" si="137"/>
        <v>#REF!</v>
      </c>
      <c r="AF15" s="3"/>
      <c r="AG15" s="3" t="e">
        <f>SUM(AI3:AI15)</f>
        <v>#REF!</v>
      </c>
      <c r="AH15" s="3">
        <f t="shared" si="12"/>
        <v>8</v>
      </c>
      <c r="AI15" s="3" t="e">
        <f>AK15+AM15+AO15+AQ15+AS15+AU15+AW15+AY15+BA15+BE15+BG15+BI15+BK15+BM15+BO15+BQ15+BS15+BU15+BW15+BY15+CA15+#REF!+#REF!</f>
        <v>#REF!</v>
      </c>
      <c r="AJ15" s="3">
        <f>SUM(AK3:AK15)</f>
        <v>3</v>
      </c>
      <c r="AK15" s="3"/>
      <c r="AL15" s="3">
        <f>SUM(AM3:AM15)</f>
        <v>4</v>
      </c>
      <c r="AM15" s="3"/>
      <c r="AN15" s="3">
        <f>SUM(AO3:AO15)</f>
        <v>3</v>
      </c>
      <c r="AO15" s="3"/>
      <c r="AP15" s="3">
        <f>SUM(AQ3:AQ15)</f>
        <v>4</v>
      </c>
      <c r="AQ15" s="3"/>
      <c r="AR15" s="3">
        <f>SUM(AS3:AS15)</f>
        <v>2</v>
      </c>
      <c r="AS15" s="3"/>
      <c r="AT15" s="3">
        <f>SUM(AU3:AU15)</f>
        <v>2</v>
      </c>
      <c r="AU15" s="3"/>
      <c r="AV15" s="3">
        <f>SUM(AW3:AW15)</f>
        <v>4</v>
      </c>
      <c r="AW15" s="3"/>
      <c r="AX15" s="3">
        <f>SUM(AY3:AY15)</f>
        <v>1</v>
      </c>
      <c r="AY15" s="3"/>
      <c r="AZ15" s="3">
        <f>SUM(BA3:BA15)</f>
        <v>1</v>
      </c>
      <c r="BA15" s="3"/>
      <c r="BB15" s="3">
        <f>SUM(BC3:BC15)</f>
        <v>17</v>
      </c>
      <c r="BC15" s="3">
        <v>1</v>
      </c>
      <c r="BD15" s="3">
        <f>SUM(BE3:BE15)</f>
        <v>4</v>
      </c>
      <c r="BE15" s="3"/>
      <c r="BF15" s="3">
        <f>SUM(BG3:BG15)</f>
        <v>2</v>
      </c>
      <c r="BG15" s="3"/>
      <c r="BH15" s="3">
        <f>SUM(BI3:BI15)</f>
        <v>0</v>
      </c>
      <c r="BI15" s="3"/>
      <c r="BJ15" s="3">
        <f>SUM(BK3:BK15)</f>
        <v>2</v>
      </c>
      <c r="BK15" s="3"/>
      <c r="BL15" s="3">
        <f>SUM(BM3:BM15)</f>
        <v>4</v>
      </c>
      <c r="BM15" s="3">
        <v>1</v>
      </c>
      <c r="BN15" s="3">
        <f>SUM(BO3:BO15)</f>
        <v>1</v>
      </c>
      <c r="BO15" s="3"/>
      <c r="BP15" s="3">
        <f>SUM(BQ3:BQ15)</f>
        <v>5</v>
      </c>
      <c r="BQ15" s="3">
        <v>1</v>
      </c>
      <c r="BR15" s="3">
        <f>SUM(BS3:BS15)</f>
        <v>1</v>
      </c>
      <c r="BS15" s="3"/>
      <c r="BT15" s="3">
        <f>SUM(BU3:BU15)</f>
        <v>1</v>
      </c>
      <c r="BU15" s="3"/>
      <c r="BV15" s="3">
        <f>SUM(BW3:BW15)</f>
        <v>1</v>
      </c>
      <c r="BW15" s="3"/>
      <c r="BX15" s="3">
        <f>SUM(BY3:BY15)</f>
        <v>1</v>
      </c>
      <c r="BY15" s="3"/>
      <c r="BZ15" s="3">
        <f>SUM(CA3:CA15)</f>
        <v>1</v>
      </c>
      <c r="CA15" s="3"/>
      <c r="CC15" s="1">
        <f t="shared" si="0"/>
        <v>32240</v>
      </c>
      <c r="CD15" s="1">
        <f t="shared" si="1"/>
        <v>4760000</v>
      </c>
      <c r="CE15" s="1">
        <f t="shared" si="2"/>
        <v>1808000</v>
      </c>
      <c r="CF15" s="12">
        <f t="shared" si="3"/>
        <v>56.079404466501238</v>
      </c>
      <c r="CG15" s="12">
        <f t="shared" si="13"/>
        <v>2.6327433628318584</v>
      </c>
      <c r="CI15" s="1">
        <f t="shared" si="4"/>
        <v>32240</v>
      </c>
      <c r="CJ15" s="1">
        <f t="shared" si="5"/>
        <v>4760000</v>
      </c>
      <c r="CK15" s="1">
        <f t="shared" si="6"/>
        <v>1808000</v>
      </c>
      <c r="CL15" s="12">
        <f t="shared" si="14"/>
        <v>56.079404466501238</v>
      </c>
      <c r="CM15" s="12">
        <f t="shared" si="15"/>
        <v>2.6327433628318584</v>
      </c>
      <c r="CO15" s="1">
        <f t="shared" si="7"/>
        <v>12900</v>
      </c>
      <c r="CP15" s="1">
        <f t="shared" si="8"/>
        <v>2725000</v>
      </c>
      <c r="CQ15" s="1">
        <f t="shared" si="9"/>
        <v>724000</v>
      </c>
      <c r="CR15" s="12">
        <f t="shared" si="16"/>
        <v>56.124031007751938</v>
      </c>
      <c r="CS15" s="12">
        <f t="shared" si="17"/>
        <v>3.7638121546961325</v>
      </c>
      <c r="CV15" s="8">
        <f t="shared" si="18"/>
        <v>13</v>
      </c>
      <c r="CW15" s="8">
        <v>1</v>
      </c>
      <c r="CX15" s="45">
        <f t="shared" ref="CX15:CX17" si="227">CX14</f>
        <v>0.125</v>
      </c>
      <c r="CY15" s="25">
        <f t="shared" si="10"/>
        <v>523</v>
      </c>
      <c r="CZ15" s="25">
        <f t="shared" si="19"/>
        <v>3655</v>
      </c>
      <c r="DA15" s="47">
        <f t="shared" si="211"/>
        <v>1.3</v>
      </c>
      <c r="DB15" s="3">
        <f t="shared" si="20"/>
        <v>177</v>
      </c>
      <c r="DC15" s="3">
        <f t="shared" si="182"/>
        <v>2</v>
      </c>
      <c r="DD15" s="3">
        <f t="shared" si="21"/>
        <v>408000</v>
      </c>
      <c r="DE15" s="20">
        <f t="shared" si="22"/>
        <v>8.5714285714285715E-2</v>
      </c>
      <c r="DF15" s="2">
        <f t="shared" si="225"/>
        <v>1.5</v>
      </c>
      <c r="DG15" s="3">
        <f t="shared" si="202"/>
        <v>68800</v>
      </c>
      <c r="DH15" s="20">
        <f t="shared" si="198"/>
        <v>2.5247706422018349E-2</v>
      </c>
      <c r="DI15" s="33" t="str">
        <f t="shared" si="23"/>
        <v>4d 20h 9m</v>
      </c>
      <c r="DJ15" s="46">
        <f t="shared" si="190"/>
        <v>1.1000000000000001</v>
      </c>
      <c r="DK15" s="28">
        <f t="shared" si="24"/>
        <v>418176.00000000012</v>
      </c>
      <c r="DN15" s="8">
        <f t="shared" si="139"/>
        <v>13</v>
      </c>
      <c r="DO15" s="8">
        <v>1</v>
      </c>
      <c r="DP15" s="47">
        <v>1</v>
      </c>
      <c r="DQ15" s="25">
        <f t="shared" si="25"/>
        <v>523</v>
      </c>
      <c r="DR15" s="25">
        <f t="shared" si="140"/>
        <v>3655</v>
      </c>
      <c r="DS15" s="47">
        <v>1</v>
      </c>
      <c r="DT15" s="25">
        <f t="shared" si="26"/>
        <v>177</v>
      </c>
      <c r="DU15" s="47">
        <v>1</v>
      </c>
      <c r="DV15" s="25">
        <f t="shared" si="27"/>
        <v>408000</v>
      </c>
      <c r="DW15" s="2">
        <v>1</v>
      </c>
      <c r="DX15" s="25">
        <f t="shared" si="28"/>
        <v>68800</v>
      </c>
      <c r="DY15" s="33" t="str">
        <f t="shared" si="29"/>
        <v>4d 20h 6m</v>
      </c>
      <c r="DZ15" s="46">
        <v>1</v>
      </c>
      <c r="EA15" s="25">
        <f t="shared" si="30"/>
        <v>418000</v>
      </c>
      <c r="EB15" s="45">
        <v>3</v>
      </c>
      <c r="EC15" s="1">
        <f t="shared" si="31"/>
        <v>1360000</v>
      </c>
      <c r="ED15" s="3"/>
      <c r="EE15" s="8">
        <f t="shared" si="141"/>
        <v>13</v>
      </c>
      <c r="EF15" s="8">
        <v>1</v>
      </c>
      <c r="EG15" s="47">
        <v>1</v>
      </c>
      <c r="EH15" s="25">
        <f t="shared" si="32"/>
        <v>523</v>
      </c>
      <c r="EI15" s="25">
        <f t="shared" si="142"/>
        <v>3655</v>
      </c>
      <c r="EJ15" s="47">
        <v>1</v>
      </c>
      <c r="EK15" s="25">
        <f t="shared" si="33"/>
        <v>177</v>
      </c>
      <c r="EL15" s="47">
        <v>0.5</v>
      </c>
      <c r="EM15" s="25">
        <f t="shared" si="34"/>
        <v>204000</v>
      </c>
      <c r="EN15" s="2">
        <v>1</v>
      </c>
      <c r="EO15" s="25">
        <f t="shared" si="35"/>
        <v>68800</v>
      </c>
      <c r="EP15" s="33" t="str">
        <f t="shared" si="36"/>
        <v>4d 20h 6m</v>
      </c>
      <c r="EQ15" s="46">
        <v>1</v>
      </c>
      <c r="ER15" s="25">
        <f t="shared" si="37"/>
        <v>418000</v>
      </c>
      <c r="ES15" s="45">
        <f t="shared" ref="ES15:ES17" si="228">ES14</f>
        <v>1.2</v>
      </c>
      <c r="ET15" s="3">
        <f t="shared" si="38"/>
        <v>8060</v>
      </c>
      <c r="EU15" s="7">
        <f t="shared" si="184"/>
        <v>1.3</v>
      </c>
      <c r="EV15" s="3">
        <f t="shared" si="39"/>
        <v>452000</v>
      </c>
      <c r="EW15" s="6" t="str">
        <f t="shared" si="40"/>
        <v>2d 8h 4m</v>
      </c>
      <c r="EY15" s="8">
        <f t="shared" si="143"/>
        <v>13</v>
      </c>
      <c r="EZ15" s="8">
        <v>1</v>
      </c>
      <c r="FA15" s="47">
        <v>1</v>
      </c>
      <c r="FB15" s="25">
        <f t="shared" si="41"/>
        <v>523</v>
      </c>
      <c r="FC15" s="25">
        <f t="shared" si="144"/>
        <v>3655</v>
      </c>
      <c r="FD15" s="47">
        <v>1</v>
      </c>
      <c r="FE15" s="25">
        <f t="shared" si="42"/>
        <v>177</v>
      </c>
      <c r="FF15" s="47">
        <v>1</v>
      </c>
      <c r="FG15" s="25">
        <f t="shared" si="43"/>
        <v>408000</v>
      </c>
      <c r="FH15" s="2">
        <v>1</v>
      </c>
      <c r="FI15" s="25">
        <f t="shared" si="44"/>
        <v>68800</v>
      </c>
      <c r="FJ15" s="33" t="str">
        <f t="shared" si="45"/>
        <v>4d 20h 6m</v>
      </c>
      <c r="FK15" s="46">
        <v>1</v>
      </c>
      <c r="FL15" s="25">
        <f t="shared" si="46"/>
        <v>418000</v>
      </c>
      <c r="FM15" s="45">
        <v>3</v>
      </c>
      <c r="FN15" s="1">
        <f t="shared" si="47"/>
        <v>1360000</v>
      </c>
      <c r="FO15" s="3"/>
      <c r="FP15" s="8">
        <f t="shared" si="145"/>
        <v>13</v>
      </c>
      <c r="FQ15" s="8">
        <v>1</v>
      </c>
      <c r="FR15" s="47">
        <v>1</v>
      </c>
      <c r="FS15" s="25">
        <f t="shared" si="48"/>
        <v>523</v>
      </c>
      <c r="FT15" s="25">
        <f t="shared" si="146"/>
        <v>3655</v>
      </c>
      <c r="FU15" s="47">
        <v>1</v>
      </c>
      <c r="FV15" s="25">
        <f t="shared" si="49"/>
        <v>177</v>
      </c>
      <c r="FW15" s="47">
        <v>0.5</v>
      </c>
      <c r="FX15" s="25">
        <f t="shared" si="50"/>
        <v>204000</v>
      </c>
      <c r="FY15" s="2">
        <v>1</v>
      </c>
      <c r="FZ15" s="25">
        <f t="shared" si="51"/>
        <v>68800</v>
      </c>
      <c r="GA15" s="33" t="str">
        <f t="shared" si="52"/>
        <v>4d 20h 6m</v>
      </c>
      <c r="GB15" s="46">
        <v>1</v>
      </c>
      <c r="GC15" s="25">
        <f t="shared" si="53"/>
        <v>418000</v>
      </c>
      <c r="GD15" s="45">
        <f t="shared" ref="GD15:GD17" si="229">GD14</f>
        <v>1.2</v>
      </c>
      <c r="GE15" s="3">
        <f t="shared" si="54"/>
        <v>8060</v>
      </c>
      <c r="GF15" s="7">
        <f t="shared" ref="GF15:GF17" si="230">GF14</f>
        <v>1.3</v>
      </c>
      <c r="GG15" s="3">
        <f t="shared" si="55"/>
        <v>452000</v>
      </c>
      <c r="GH15" s="6" t="str">
        <f t="shared" si="56"/>
        <v>2d 8h 4m</v>
      </c>
      <c r="GJ15" s="8">
        <f t="shared" si="147"/>
        <v>7</v>
      </c>
      <c r="GK15" s="8">
        <v>1</v>
      </c>
      <c r="GL15" s="47">
        <v>1</v>
      </c>
      <c r="GM15" s="25">
        <f t="shared" si="57"/>
        <v>523</v>
      </c>
      <c r="GN15" s="25">
        <f t="shared" si="148"/>
        <v>3446</v>
      </c>
      <c r="GO15" s="47">
        <v>1</v>
      </c>
      <c r="GP15" s="25">
        <f t="shared" si="58"/>
        <v>177</v>
      </c>
      <c r="GQ15" s="47">
        <v>1.2</v>
      </c>
      <c r="GR15" s="25">
        <f t="shared" si="59"/>
        <v>490000</v>
      </c>
      <c r="GS15" s="2">
        <v>1</v>
      </c>
      <c r="GT15" s="25">
        <f t="shared" si="60"/>
        <v>68800</v>
      </c>
      <c r="GU15" s="33" t="str">
        <f t="shared" si="61"/>
        <v>4d 20h 6m</v>
      </c>
      <c r="GV15" s="46">
        <v>1</v>
      </c>
      <c r="GW15" s="25">
        <f t="shared" si="62"/>
        <v>418000</v>
      </c>
      <c r="GX15" s="45">
        <v>3</v>
      </c>
      <c r="GY15" s="1">
        <f t="shared" si="63"/>
        <v>1090000</v>
      </c>
      <c r="GZ15" s="3"/>
      <c r="HA15" s="8">
        <f t="shared" si="149"/>
        <v>7</v>
      </c>
      <c r="HB15" s="8">
        <v>1</v>
      </c>
      <c r="HC15" s="47">
        <v>1</v>
      </c>
      <c r="HD15" s="25">
        <f t="shared" si="64"/>
        <v>523</v>
      </c>
      <c r="HE15" s="25">
        <f t="shared" si="150"/>
        <v>3446</v>
      </c>
      <c r="HF15" s="47">
        <v>1</v>
      </c>
      <c r="HG15" s="25">
        <f t="shared" si="65"/>
        <v>177</v>
      </c>
      <c r="HH15" s="47">
        <v>0.5</v>
      </c>
      <c r="HI15" s="25">
        <f t="shared" si="66"/>
        <v>204000</v>
      </c>
      <c r="HJ15" s="2">
        <v>1</v>
      </c>
      <c r="HK15" s="25">
        <f t="shared" si="67"/>
        <v>68800</v>
      </c>
      <c r="HL15" s="33" t="str">
        <f t="shared" si="68"/>
        <v>4d 20h 6m</v>
      </c>
      <c r="HM15" s="46">
        <v>1</v>
      </c>
      <c r="HN15" s="25">
        <f t="shared" si="69"/>
        <v>418000</v>
      </c>
      <c r="HO15" s="45">
        <v>0.8</v>
      </c>
      <c r="HP15" s="3">
        <f t="shared" si="199"/>
        <v>6450</v>
      </c>
      <c r="HQ15" s="7">
        <v>0.8</v>
      </c>
      <c r="HR15" s="3">
        <f t="shared" si="200"/>
        <v>362000</v>
      </c>
      <c r="HS15" s="6" t="str">
        <f t="shared" si="70"/>
        <v>2d 8h 7m</v>
      </c>
      <c r="HU15" s="8">
        <f t="shared" si="151"/>
        <v>13</v>
      </c>
      <c r="HV15" s="8">
        <v>1</v>
      </c>
      <c r="HW15" s="47">
        <v>1</v>
      </c>
      <c r="HX15" s="25">
        <f t="shared" si="71"/>
        <v>523</v>
      </c>
      <c r="HY15" s="25">
        <f t="shared" si="152"/>
        <v>3655</v>
      </c>
      <c r="HZ15" s="47">
        <v>2</v>
      </c>
      <c r="IA15" s="25">
        <f t="shared" si="72"/>
        <v>354</v>
      </c>
      <c r="IB15" s="47">
        <v>2.5</v>
      </c>
      <c r="IC15" s="25">
        <f t="shared" si="73"/>
        <v>1020000</v>
      </c>
      <c r="ID15" s="2">
        <v>2.5</v>
      </c>
      <c r="IE15" s="25">
        <f t="shared" si="74"/>
        <v>172000</v>
      </c>
      <c r="IF15" s="33" t="str">
        <f t="shared" si="75"/>
        <v>9d 16h 13m</v>
      </c>
      <c r="IG15" s="46">
        <v>2</v>
      </c>
      <c r="IH15" s="25">
        <f t="shared" si="76"/>
        <v>836000</v>
      </c>
      <c r="IK15" s="8">
        <f t="shared" si="153"/>
        <v>9</v>
      </c>
      <c r="IL15" s="8">
        <v>1</v>
      </c>
      <c r="IM15" s="47">
        <v>1</v>
      </c>
      <c r="IN15" s="25">
        <f t="shared" si="77"/>
        <v>523</v>
      </c>
      <c r="IO15" s="25">
        <f t="shared" si="154"/>
        <v>3590</v>
      </c>
      <c r="IP15" s="47">
        <v>3</v>
      </c>
      <c r="IQ15" s="25">
        <f t="shared" si="78"/>
        <v>531</v>
      </c>
      <c r="IR15" s="47">
        <v>4</v>
      </c>
      <c r="IS15" s="25">
        <f t="shared" si="79"/>
        <v>1630000</v>
      </c>
      <c r="IT15" s="2">
        <v>3</v>
      </c>
      <c r="IU15" s="25">
        <f t="shared" si="80"/>
        <v>206000</v>
      </c>
      <c r="IV15" s="33" t="str">
        <f t="shared" si="81"/>
        <v>9d 16h 13m</v>
      </c>
      <c r="IW15" s="46">
        <v>2</v>
      </c>
      <c r="IX15" s="25">
        <f t="shared" si="82"/>
        <v>836000</v>
      </c>
      <c r="IY15" s="25">
        <v>19</v>
      </c>
      <c r="IZ15" s="25">
        <v>13</v>
      </c>
      <c r="JA15" s="25">
        <v>3</v>
      </c>
      <c r="JB15" s="7"/>
      <c r="JC15" s="8">
        <f t="shared" si="155"/>
        <v>8</v>
      </c>
      <c r="JD15" s="8">
        <v>1</v>
      </c>
      <c r="JE15" s="47">
        <v>1</v>
      </c>
      <c r="JF15" s="25">
        <f t="shared" si="83"/>
        <v>523</v>
      </c>
      <c r="JG15" s="25">
        <f t="shared" si="156"/>
        <v>3518</v>
      </c>
      <c r="JH15" s="47">
        <v>0.5</v>
      </c>
      <c r="JI15" s="25">
        <f t="shared" si="84"/>
        <v>88</v>
      </c>
      <c r="JJ15" s="47">
        <v>2.5</v>
      </c>
      <c r="JK15" s="25">
        <f t="shared" si="85"/>
        <v>1020000</v>
      </c>
      <c r="JL15" s="2">
        <v>2.5</v>
      </c>
      <c r="JM15" s="25">
        <f t="shared" si="86"/>
        <v>172000</v>
      </c>
      <c r="JN15" s="33" t="str">
        <f t="shared" si="87"/>
        <v>7d 6h 10m</v>
      </c>
      <c r="JO15" s="46">
        <v>1.5</v>
      </c>
      <c r="JP15" s="25">
        <f t="shared" si="88"/>
        <v>627000</v>
      </c>
      <c r="JQ15" s="7"/>
      <c r="JR15" s="8">
        <f t="shared" si="89"/>
        <v>1</v>
      </c>
      <c r="JS15" s="5">
        <v>0</v>
      </c>
      <c r="JT15" s="47">
        <v>1</v>
      </c>
      <c r="JU15" s="25">
        <f t="shared" si="90"/>
        <v>0</v>
      </c>
      <c r="JV15" s="25">
        <f t="shared" si="157"/>
        <v>0</v>
      </c>
      <c r="JW15" s="47">
        <v>1</v>
      </c>
      <c r="JX15" s="25">
        <f t="shared" si="91"/>
        <v>0</v>
      </c>
      <c r="JY15" s="47">
        <v>1.5</v>
      </c>
      <c r="JZ15" s="25">
        <f>IF(JS15,baseBetterNumbers(JY15*$DD15),IF(JR15-1,JZ14,0))</f>
        <v>0</v>
      </c>
      <c r="KA15" s="2">
        <v>1.5</v>
      </c>
      <c r="KB15" s="25">
        <f t="shared" si="92"/>
        <v>0</v>
      </c>
      <c r="KC15" s="33" t="str">
        <f t="shared" si="93"/>
        <v>0h 0m</v>
      </c>
      <c r="KD15" s="46">
        <v>1</v>
      </c>
      <c r="KE15" s="25">
        <f t="shared" si="94"/>
        <v>0</v>
      </c>
      <c r="KF15" s="7"/>
      <c r="KG15" s="8">
        <f t="shared" si="158"/>
        <v>13</v>
      </c>
      <c r="KH15" s="8">
        <v>1</v>
      </c>
      <c r="KI15" s="47">
        <v>1</v>
      </c>
      <c r="KJ15" s="25">
        <f t="shared" si="95"/>
        <v>523</v>
      </c>
      <c r="KK15" s="25">
        <f t="shared" si="159"/>
        <v>3655</v>
      </c>
      <c r="KL15" s="47">
        <v>1</v>
      </c>
      <c r="KM15" s="25">
        <f t="shared" si="96"/>
        <v>177</v>
      </c>
      <c r="KN15" s="47">
        <v>1.5</v>
      </c>
      <c r="KO15" s="25">
        <f t="shared" si="97"/>
        <v>612000</v>
      </c>
      <c r="KP15" s="2">
        <v>1.5</v>
      </c>
      <c r="KQ15" s="25">
        <f t="shared" si="98"/>
        <v>103000</v>
      </c>
      <c r="KR15" s="33" t="str">
        <f t="shared" si="99"/>
        <v>4d 20h 6m</v>
      </c>
      <c r="KS15" s="46">
        <v>1</v>
      </c>
      <c r="KT15" s="25">
        <f t="shared" si="100"/>
        <v>418000</v>
      </c>
      <c r="KU15" s="7"/>
      <c r="KV15" s="8">
        <f t="shared" si="160"/>
        <v>6</v>
      </c>
      <c r="KW15" s="8">
        <v>1</v>
      </c>
      <c r="KX15" s="47">
        <v>1</v>
      </c>
      <c r="KY15" s="25">
        <f t="shared" si="101"/>
        <v>523</v>
      </c>
      <c r="KZ15" s="25">
        <f t="shared" si="161"/>
        <v>3302</v>
      </c>
      <c r="LA15" s="47">
        <v>1.5</v>
      </c>
      <c r="LB15" s="25">
        <f t="shared" si="102"/>
        <v>266</v>
      </c>
      <c r="LC15" s="47">
        <v>1.5</v>
      </c>
      <c r="LD15" s="25">
        <f t="shared" si="103"/>
        <v>612000</v>
      </c>
      <c r="LE15" s="2">
        <v>1.5</v>
      </c>
      <c r="LF15" s="25">
        <f t="shared" si="162"/>
        <v>103000</v>
      </c>
      <c r="LG15" s="33" t="str">
        <f t="shared" si="104"/>
        <v>4d 20h 6m</v>
      </c>
      <c r="LH15" s="46">
        <v>1</v>
      </c>
      <c r="LI15" s="25">
        <f t="shared" si="105"/>
        <v>418000</v>
      </c>
      <c r="LJ15" s="7"/>
      <c r="LK15" s="8">
        <f t="shared" si="163"/>
        <v>0</v>
      </c>
      <c r="LL15" s="5">
        <v>0</v>
      </c>
      <c r="LM15" s="47">
        <v>1</v>
      </c>
      <c r="LN15" s="25">
        <f t="shared" si="106"/>
        <v>0</v>
      </c>
      <c r="LO15" s="25">
        <f t="shared" si="164"/>
        <v>0</v>
      </c>
      <c r="LP15" s="47">
        <v>1.5</v>
      </c>
      <c r="LQ15" s="25">
        <f t="shared" si="107"/>
        <v>0</v>
      </c>
      <c r="LR15" s="47">
        <v>1.5</v>
      </c>
      <c r="LS15" s="25">
        <f t="shared" si="108"/>
        <v>0</v>
      </c>
      <c r="LT15" s="2">
        <v>1.5</v>
      </c>
      <c r="LU15" s="25">
        <f t="shared" si="165"/>
        <v>0</v>
      </c>
      <c r="LV15" s="33" t="str">
        <f t="shared" si="109"/>
        <v>0h 0m</v>
      </c>
      <c r="LW15" s="46">
        <v>1</v>
      </c>
      <c r="LX15" s="25">
        <f t="shared" si="110"/>
        <v>0</v>
      </c>
      <c r="LY15" s="7"/>
      <c r="LZ15" s="8">
        <f t="shared" si="166"/>
        <v>5</v>
      </c>
      <c r="MA15" s="5">
        <v>1</v>
      </c>
      <c r="MB15" s="47">
        <v>1</v>
      </c>
      <c r="MC15" s="25">
        <f t="shared" si="111"/>
        <v>523</v>
      </c>
      <c r="MD15" s="25">
        <f t="shared" si="167"/>
        <v>3014</v>
      </c>
      <c r="ME15" s="47">
        <v>0.2</v>
      </c>
      <c r="MF15" s="25">
        <f t="shared" si="112"/>
        <v>35</v>
      </c>
      <c r="MG15" s="47">
        <v>3</v>
      </c>
      <c r="MH15" s="25">
        <f t="shared" si="113"/>
        <v>1220000</v>
      </c>
      <c r="MI15" s="2">
        <v>3</v>
      </c>
      <c r="MJ15" s="25">
        <f t="shared" si="168"/>
        <v>206000</v>
      </c>
      <c r="MK15" s="33" t="str">
        <f t="shared" si="114"/>
        <v>4d 20h 6m</v>
      </c>
      <c r="ML15" s="46">
        <v>1</v>
      </c>
      <c r="MM15" s="25">
        <f t="shared" si="115"/>
        <v>418000</v>
      </c>
      <c r="MN15" s="7"/>
      <c r="MO15" s="8">
        <f t="shared" si="169"/>
        <v>11</v>
      </c>
      <c r="MP15" s="5">
        <v>1</v>
      </c>
      <c r="MQ15" s="47">
        <v>1</v>
      </c>
      <c r="MR15" s="25">
        <f t="shared" si="116"/>
        <v>523</v>
      </c>
      <c r="MS15" s="25">
        <f t="shared" si="170"/>
        <v>3644</v>
      </c>
      <c r="MT15" s="47">
        <v>1.5</v>
      </c>
      <c r="MU15" s="25">
        <f t="shared" si="117"/>
        <v>266</v>
      </c>
      <c r="MV15" s="47">
        <v>2.5</v>
      </c>
      <c r="MW15" s="25">
        <f t="shared" si="118"/>
        <v>1020000</v>
      </c>
      <c r="MX15" s="2">
        <v>3</v>
      </c>
      <c r="MY15" s="25">
        <f t="shared" si="171"/>
        <v>206000</v>
      </c>
      <c r="MZ15" s="33" t="str">
        <f t="shared" si="119"/>
        <v>4d 20h 6m</v>
      </c>
      <c r="NA15" s="46">
        <v>1</v>
      </c>
      <c r="NB15" s="25">
        <f t="shared" si="120"/>
        <v>418000</v>
      </c>
      <c r="NC15" s="7"/>
      <c r="ND15" s="8">
        <f t="shared" si="172"/>
        <v>12</v>
      </c>
      <c r="NE15" s="5">
        <v>1</v>
      </c>
      <c r="NF15" s="47">
        <v>1</v>
      </c>
      <c r="NG15" s="25">
        <f t="shared" si="121"/>
        <v>523</v>
      </c>
      <c r="NH15" s="25">
        <f t="shared" si="173"/>
        <v>3653</v>
      </c>
      <c r="NI15" s="47">
        <v>2.5</v>
      </c>
      <c r="NJ15" s="25">
        <f>IF(NE15,baseBetterNumbers(NI15*$DD15),IF(ND15,NJ14,0))</f>
        <v>1020000</v>
      </c>
      <c r="NK15" s="2">
        <v>3</v>
      </c>
      <c r="NL15" s="25">
        <f>IF(NE15,baseBetterNumbers(NK15*$DG15),IF(ND15-1,NL14,0))</f>
        <v>206000</v>
      </c>
      <c r="NM15" s="33" t="str">
        <f t="shared" si="122"/>
        <v>4d 20h 6m</v>
      </c>
      <c r="NN15" s="46">
        <v>1</v>
      </c>
      <c r="NO15" s="25">
        <f>IF(NE15,baseBetterNumbers(NN15*$DK15),IF(ND15,NO14,0))</f>
        <v>418000</v>
      </c>
      <c r="NP15" s="47">
        <v>1.3</v>
      </c>
      <c r="NQ15" s="25">
        <f t="shared" si="188"/>
        <v>2186.7356159999999</v>
      </c>
      <c r="NR15" s="1">
        <f t="shared" si="123"/>
        <v>10933.67808</v>
      </c>
      <c r="NS15" s="1" t="e">
        <f>G15+AJ15*DT15+AL15*EK15+AN15*FE15+AP15*FV15+AR15*GP15+AT15*HG15+AV15*IA15+AX15*IQ15+AZ15*JI15+BD15*KM15+BF15*LB15+BH15*LQ15+BJ15*MF15+BL15*MU15+BR15*OA15+BT15*OP15+BV15*#REF!+BX15*#REF!+BZ15*PU15+#REF!*#REF!+#REF!*#REF!</f>
        <v>#REF!</v>
      </c>
      <c r="NU15" s="8">
        <f t="shared" si="174"/>
        <v>10</v>
      </c>
      <c r="NV15" s="5">
        <v>1</v>
      </c>
      <c r="NW15" s="47">
        <v>1</v>
      </c>
      <c r="NX15" s="25">
        <f t="shared" si="124"/>
        <v>523</v>
      </c>
      <c r="NY15" s="25">
        <f t="shared" si="175"/>
        <v>3626</v>
      </c>
      <c r="NZ15" s="47">
        <v>2</v>
      </c>
      <c r="OA15" s="25">
        <f t="shared" si="125"/>
        <v>354</v>
      </c>
      <c r="OB15" s="47">
        <v>4</v>
      </c>
      <c r="OC15" s="25">
        <f t="shared" si="126"/>
        <v>1630000</v>
      </c>
      <c r="OD15" s="2">
        <v>4</v>
      </c>
      <c r="OE15" s="25">
        <f t="shared" si="176"/>
        <v>275000</v>
      </c>
      <c r="OF15" s="33" t="str">
        <f t="shared" si="127"/>
        <v>9d 16h 13m</v>
      </c>
      <c r="OG15" s="46">
        <v>2</v>
      </c>
      <c r="OH15" s="25">
        <f t="shared" si="128"/>
        <v>836000</v>
      </c>
      <c r="OI15" s="7"/>
      <c r="OJ15" s="8">
        <f t="shared" si="177"/>
        <v>10</v>
      </c>
      <c r="OK15" s="5">
        <v>1</v>
      </c>
      <c r="OL15" s="47">
        <v>1</v>
      </c>
      <c r="OM15" s="25">
        <f t="shared" si="129"/>
        <v>523</v>
      </c>
      <c r="ON15" s="25">
        <f t="shared" si="178"/>
        <v>3626</v>
      </c>
      <c r="OO15" s="47">
        <v>2</v>
      </c>
      <c r="OP15" s="25">
        <f t="shared" si="130"/>
        <v>354</v>
      </c>
      <c r="OQ15" s="47">
        <v>6</v>
      </c>
      <c r="OR15" s="25">
        <f t="shared" si="131"/>
        <v>2450000</v>
      </c>
      <c r="OS15" s="2">
        <v>4</v>
      </c>
      <c r="OT15" s="25">
        <f t="shared" si="179"/>
        <v>275000</v>
      </c>
      <c r="OU15" s="33" t="str">
        <f t="shared" si="132"/>
        <v>14d 11h 13m</v>
      </c>
      <c r="OV15" s="46">
        <v>3</v>
      </c>
      <c r="OW15" s="25">
        <f t="shared" si="133"/>
        <v>1250000</v>
      </c>
      <c r="OX15" s="82">
        <f t="shared" si="194"/>
        <v>0.29999999999999988</v>
      </c>
      <c r="OY15" s="82">
        <v>0.5</v>
      </c>
      <c r="OZ15" s="78" t="str">
        <f t="shared" si="191"/>
        <v>5h 0m</v>
      </c>
      <c r="PA15" s="25">
        <v>18000</v>
      </c>
      <c r="PB15" s="47">
        <v>1.5</v>
      </c>
      <c r="PC15" s="25">
        <f>baseBetterNumbers(DD15*PB15)</f>
        <v>612000</v>
      </c>
      <c r="PD15" s="82">
        <f t="shared" si="195"/>
        <v>0.90000000000000036</v>
      </c>
      <c r="PE15" s="82">
        <f t="shared" si="204"/>
        <v>0.19999999999999998</v>
      </c>
      <c r="PF15" s="25">
        <v>0</v>
      </c>
      <c r="PG15" s="78" t="str">
        <f t="shared" si="192"/>
        <v>20h 0m</v>
      </c>
      <c r="PH15" s="25">
        <f t="shared" si="193"/>
        <v>72000</v>
      </c>
      <c r="PI15" s="47">
        <v>10</v>
      </c>
      <c r="PJ15" s="25">
        <f>baseBetterNumbers(DD15*PI15)</f>
        <v>4080000</v>
      </c>
      <c r="PK15" s="82">
        <v>1</v>
      </c>
      <c r="PL15" s="82">
        <f t="shared" si="196"/>
        <v>0.70000000000000007</v>
      </c>
      <c r="PM15" s="82">
        <f t="shared" si="201"/>
        <v>0.22499999999999998</v>
      </c>
      <c r="PN15" s="25"/>
      <c r="PO15" s="8">
        <f t="shared" si="213"/>
        <v>5</v>
      </c>
      <c r="PP15" s="5">
        <v>1</v>
      </c>
      <c r="PQ15" s="47">
        <v>1</v>
      </c>
      <c r="PR15" s="25">
        <f t="shared" si="214"/>
        <v>523</v>
      </c>
      <c r="PS15" s="25">
        <f t="shared" si="215"/>
        <v>3014</v>
      </c>
      <c r="PT15" s="47">
        <f t="shared" si="222"/>
        <v>2</v>
      </c>
      <c r="PU15" s="25">
        <f t="shared" si="216"/>
        <v>354</v>
      </c>
      <c r="PV15" s="47">
        <v>4</v>
      </c>
      <c r="PW15" s="25">
        <f t="shared" si="217"/>
        <v>1630000</v>
      </c>
      <c r="PX15" s="2">
        <f t="shared" si="223"/>
        <v>6</v>
      </c>
      <c r="PY15" s="25">
        <f t="shared" si="218"/>
        <v>413000</v>
      </c>
      <c r="PZ15" s="33" t="str">
        <f t="shared" si="219"/>
        <v>9d 16h 13m</v>
      </c>
      <c r="QA15" s="46">
        <f t="shared" si="224"/>
        <v>2</v>
      </c>
      <c r="QB15" s="25">
        <f t="shared" si="220"/>
        <v>836000</v>
      </c>
    </row>
    <row r="16" spans="1:444">
      <c r="A16" s="23">
        <f t="shared" si="134"/>
        <v>14</v>
      </c>
      <c r="B16" s="5">
        <v>1</v>
      </c>
      <c r="C16" s="47">
        <v>0</v>
      </c>
      <c r="D16" s="25">
        <f>IF(B16,baseBetterNumbers(C16*$CY16),IF(A16-1,D15,0))</f>
        <v>0</v>
      </c>
      <c r="E16" s="25">
        <f t="shared" si="135"/>
        <v>0</v>
      </c>
      <c r="F16" s="47">
        <v>1</v>
      </c>
      <c r="G16" s="25">
        <f>IF(B16,baseBetterNumbers(F16*$DB16),IF(A16-1,G15,0))</f>
        <v>230</v>
      </c>
      <c r="H16" s="47">
        <v>4</v>
      </c>
      <c r="I16" s="25">
        <f>IF(B16,baseBetterNumbers(H16*$DD16),IF(A16-1,I15,0))</f>
        <v>3260000</v>
      </c>
      <c r="J16" s="2">
        <v>3</v>
      </c>
      <c r="K16" s="25">
        <f>IF(B16,baseBetterNumbers(J16*$DG16),IF(A16-1,K15,0))</f>
        <v>309000</v>
      </c>
      <c r="L16" s="33" t="str">
        <f t="shared" si="11"/>
        <v>5d 7h 46m</v>
      </c>
      <c r="M16" s="46">
        <v>1</v>
      </c>
      <c r="N16" s="25">
        <f>IF(B16,baseBetterNumbers(M16*$DK16),IF(A16-1,N15,0))</f>
        <v>460000</v>
      </c>
      <c r="O16" s="7">
        <f t="shared" si="136"/>
        <v>0.5</v>
      </c>
      <c r="P16" s="3">
        <f>baseBetterNumbers(O16*EC16)</f>
        <v>880000</v>
      </c>
      <c r="Q16" s="3">
        <f>baseBetterNumbers(O16*FN16)</f>
        <v>880000</v>
      </c>
      <c r="R16" s="3">
        <f>baseBetterNumbers(O16*GY16)</f>
        <v>705000</v>
      </c>
      <c r="S16" s="3">
        <v>40</v>
      </c>
      <c r="T16" s="38">
        <v>7.4999999999999997E-3</v>
      </c>
      <c r="U16" s="38">
        <v>6.9999999999999999E-4</v>
      </c>
      <c r="V16" s="38">
        <v>6.9999999999999999E-4</v>
      </c>
      <c r="W16" s="38">
        <v>6.9999999999999999E-4</v>
      </c>
      <c r="X16" s="3">
        <v>1</v>
      </c>
      <c r="Y16" s="3"/>
      <c r="Z16" s="3"/>
      <c r="AA16" s="3"/>
      <c r="AB16" s="3"/>
      <c r="AC16" s="3"/>
      <c r="AD16" s="3" t="e">
        <f>-AC16+E16+AJ16*DR16+AL16*EI16+AN16*FC16+AP16*FT16+AR16*GN16+AT16*HE16+AV16*HY16+AX16*IO16+AZ16*JG16+BD16*KK16+BF16*KZ16+BH16*LO16+BJ16*MD16+BL16*MS16+BP16*NH16+BR16*NY16+BT16*ON16+BV16*#REF!+BX16*#REF!+BZ16*PS16+#REF!*#REF!+#REF!*#REF!</f>
        <v>#REF!</v>
      </c>
      <c r="AE16" s="3" t="e">
        <f t="shared" si="137"/>
        <v>#REF!</v>
      </c>
      <c r="AF16" s="3"/>
      <c r="AG16" s="3" t="e">
        <f>SUM(AI3:AI16)</f>
        <v>#REF!</v>
      </c>
      <c r="AH16" s="3">
        <f t="shared" si="12"/>
        <v>9</v>
      </c>
      <c r="AI16" s="3" t="e">
        <f>AK16+AM16+AO16+AQ16+AS16+AU16+AW16+AY16+BA16+BE16+BG16+BI16+BK16+BM16+BO16+BQ16+BS16+BU16+BW16+BY16+CA16+#REF!+#REF!</f>
        <v>#REF!</v>
      </c>
      <c r="AJ16" s="3">
        <f>SUM(AK3:AK16)</f>
        <v>3</v>
      </c>
      <c r="AK16" s="3"/>
      <c r="AL16" s="3">
        <f>SUM(AM3:AM16)</f>
        <v>4</v>
      </c>
      <c r="AM16" s="3"/>
      <c r="AN16" s="3">
        <f>SUM(AO3:AO16)</f>
        <v>3</v>
      </c>
      <c r="AO16" s="3"/>
      <c r="AP16" s="3">
        <f>SUM(AQ3:AQ16)</f>
        <v>4</v>
      </c>
      <c r="AQ16" s="3"/>
      <c r="AR16" s="3">
        <f>SUM(AS3:AS16)</f>
        <v>2</v>
      </c>
      <c r="AS16" s="3"/>
      <c r="AT16" s="3">
        <f>SUM(AU3:AU16)</f>
        <v>2</v>
      </c>
      <c r="AU16" s="3"/>
      <c r="AV16" s="3">
        <f>SUM(AW3:AW16)</f>
        <v>4</v>
      </c>
      <c r="AW16" s="3"/>
      <c r="AX16" s="3">
        <f>SUM(AY3:AY16)</f>
        <v>1</v>
      </c>
      <c r="AY16" s="3"/>
      <c r="AZ16" s="3">
        <f>SUM(BA3:BA16)</f>
        <v>1</v>
      </c>
      <c r="BA16" s="3"/>
      <c r="BB16" s="3">
        <f>SUM(BC3:BC16)</f>
        <v>18</v>
      </c>
      <c r="BC16" s="3">
        <v>1</v>
      </c>
      <c r="BD16" s="3">
        <f>SUM(BE3:BE16)</f>
        <v>4</v>
      </c>
      <c r="BE16" s="3"/>
      <c r="BF16" s="3">
        <f>SUM(BG3:BG16)</f>
        <v>2</v>
      </c>
      <c r="BG16" s="3"/>
      <c r="BH16" s="3">
        <f>SUM(BI3:BI16)</f>
        <v>1</v>
      </c>
      <c r="BI16" s="24">
        <v>1</v>
      </c>
      <c r="BJ16" s="3">
        <f>SUM(BK3:BK16)</f>
        <v>2</v>
      </c>
      <c r="BK16" s="3"/>
      <c r="BL16" s="3">
        <f>SUM(BM3:BM16)</f>
        <v>4</v>
      </c>
      <c r="BM16" s="3"/>
      <c r="BN16" s="3">
        <f>SUM(BO3:BO16)</f>
        <v>1</v>
      </c>
      <c r="BO16" s="3"/>
      <c r="BP16" s="3">
        <f>SUM(BQ3:BQ16)</f>
        <v>5</v>
      </c>
      <c r="BQ16" s="3"/>
      <c r="BR16" s="3">
        <f>SUM(BS3:BS16)</f>
        <v>1</v>
      </c>
      <c r="BS16" s="3"/>
      <c r="BT16" s="3">
        <f>SUM(BU3:BU16)</f>
        <v>1</v>
      </c>
      <c r="BU16" s="3"/>
      <c r="BV16" s="3">
        <f>SUM(BW3:BW16)</f>
        <v>1</v>
      </c>
      <c r="BW16" s="3"/>
      <c r="BX16" s="3">
        <f>SUM(BY3:BY16)</f>
        <v>1</v>
      </c>
      <c r="BY16" s="3"/>
      <c r="BZ16" s="3">
        <f>SUM(CA3:CA16)</f>
        <v>1</v>
      </c>
      <c r="CA16" s="3"/>
      <c r="CC16" s="1">
        <f t="shared" si="0"/>
        <v>38680</v>
      </c>
      <c r="CD16" s="1">
        <f t="shared" si="1"/>
        <v>6160000</v>
      </c>
      <c r="CE16" s="1">
        <f t="shared" si="2"/>
        <v>2352000</v>
      </c>
      <c r="CF16" s="12">
        <f t="shared" si="3"/>
        <v>60.806618407445711</v>
      </c>
      <c r="CG16" s="12">
        <f t="shared" si="13"/>
        <v>2.6190476190476191</v>
      </c>
      <c r="CI16" s="1">
        <f t="shared" si="4"/>
        <v>38680</v>
      </c>
      <c r="CJ16" s="1">
        <f t="shared" si="5"/>
        <v>6160000</v>
      </c>
      <c r="CK16" s="1">
        <f t="shared" si="6"/>
        <v>2352000</v>
      </c>
      <c r="CL16" s="12">
        <f t="shared" si="14"/>
        <v>60.806618407445711</v>
      </c>
      <c r="CM16" s="12">
        <f t="shared" si="15"/>
        <v>2.6190476190476191</v>
      </c>
      <c r="CO16" s="1">
        <f t="shared" si="7"/>
        <v>15480</v>
      </c>
      <c r="CP16" s="1">
        <f t="shared" si="8"/>
        <v>3525000</v>
      </c>
      <c r="CQ16" s="1">
        <f t="shared" si="9"/>
        <v>940000</v>
      </c>
      <c r="CR16" s="12">
        <f t="shared" si="16"/>
        <v>60.723514211886304</v>
      </c>
      <c r="CS16" s="12">
        <f t="shared" si="17"/>
        <v>3.75</v>
      </c>
      <c r="CV16" s="8">
        <f t="shared" si="18"/>
        <v>14</v>
      </c>
      <c r="CW16" s="5">
        <v>1</v>
      </c>
      <c r="CX16" s="45">
        <f t="shared" si="227"/>
        <v>0.125</v>
      </c>
      <c r="CY16" s="25">
        <f t="shared" si="10"/>
        <v>575</v>
      </c>
      <c r="CZ16" s="25">
        <f t="shared" si="19"/>
        <v>4230</v>
      </c>
      <c r="DA16" s="47">
        <f t="shared" si="211"/>
        <v>1.3</v>
      </c>
      <c r="DB16" s="3">
        <f t="shared" si="20"/>
        <v>230</v>
      </c>
      <c r="DC16" s="3">
        <f t="shared" si="182"/>
        <v>2</v>
      </c>
      <c r="DD16" s="3">
        <f t="shared" si="21"/>
        <v>816000</v>
      </c>
      <c r="DE16" s="20">
        <f t="shared" si="22"/>
        <v>0.13246753246753246</v>
      </c>
      <c r="DF16" s="2">
        <f t="shared" si="225"/>
        <v>1.5</v>
      </c>
      <c r="DG16" s="3">
        <f>IF(CW16,baseBetterNumbers(DG15*DF16),DG$15)</f>
        <v>103000</v>
      </c>
      <c r="DH16" s="20">
        <f t="shared" si="198"/>
        <v>2.9219858156028369E-2</v>
      </c>
      <c r="DI16" s="33" t="str">
        <f t="shared" si="23"/>
        <v>5d 7h 46m</v>
      </c>
      <c r="DJ16" s="46">
        <f t="shared" si="190"/>
        <v>1.1000000000000001</v>
      </c>
      <c r="DK16" s="28">
        <f t="shared" si="24"/>
        <v>459993.60000000015</v>
      </c>
      <c r="DN16" s="8">
        <f t="shared" si="139"/>
        <v>14</v>
      </c>
      <c r="DO16" s="5">
        <v>1</v>
      </c>
      <c r="DP16" s="47">
        <v>1</v>
      </c>
      <c r="DQ16" s="25">
        <f t="shared" si="25"/>
        <v>575</v>
      </c>
      <c r="DR16" s="25">
        <f t="shared" si="140"/>
        <v>4230</v>
      </c>
      <c r="DS16" s="47">
        <v>1</v>
      </c>
      <c r="DT16" s="25">
        <f t="shared" si="26"/>
        <v>230</v>
      </c>
      <c r="DU16" s="47">
        <v>1</v>
      </c>
      <c r="DV16" s="25">
        <f t="shared" si="27"/>
        <v>816000</v>
      </c>
      <c r="DW16" s="2">
        <v>1</v>
      </c>
      <c r="DX16" s="25">
        <f t="shared" si="28"/>
        <v>103000</v>
      </c>
      <c r="DY16" s="33" t="str">
        <f t="shared" si="29"/>
        <v>5d 7h 46m</v>
      </c>
      <c r="DZ16" s="46">
        <v>1</v>
      </c>
      <c r="EA16" s="25">
        <f t="shared" si="30"/>
        <v>460000</v>
      </c>
      <c r="EB16" s="45">
        <v>3</v>
      </c>
      <c r="EC16" s="1">
        <f t="shared" si="31"/>
        <v>1760000</v>
      </c>
      <c r="ED16" s="3"/>
      <c r="EE16" s="8">
        <f t="shared" si="141"/>
        <v>14</v>
      </c>
      <c r="EF16" s="5">
        <v>1</v>
      </c>
      <c r="EG16" s="47">
        <v>1</v>
      </c>
      <c r="EH16" s="25">
        <f t="shared" si="32"/>
        <v>575</v>
      </c>
      <c r="EI16" s="25">
        <f t="shared" si="142"/>
        <v>4230</v>
      </c>
      <c r="EJ16" s="47">
        <v>1</v>
      </c>
      <c r="EK16" s="25">
        <f t="shared" si="33"/>
        <v>230</v>
      </c>
      <c r="EL16" s="47">
        <v>0.5</v>
      </c>
      <c r="EM16" s="25">
        <f t="shared" si="34"/>
        <v>408000</v>
      </c>
      <c r="EN16" s="2">
        <v>1</v>
      </c>
      <c r="EO16" s="25">
        <f t="shared" si="35"/>
        <v>103000</v>
      </c>
      <c r="EP16" s="33" t="str">
        <f t="shared" si="36"/>
        <v>5d 7h 46m</v>
      </c>
      <c r="EQ16" s="46">
        <v>1</v>
      </c>
      <c r="ER16" s="25">
        <f t="shared" si="37"/>
        <v>460000</v>
      </c>
      <c r="ES16" s="45">
        <f t="shared" si="228"/>
        <v>1.2</v>
      </c>
      <c r="ET16" s="3">
        <f t="shared" si="38"/>
        <v>9670</v>
      </c>
      <c r="EU16" s="7">
        <f t="shared" si="184"/>
        <v>1.3</v>
      </c>
      <c r="EV16" s="3">
        <f t="shared" si="39"/>
        <v>588000</v>
      </c>
      <c r="EW16" s="6" t="str">
        <f t="shared" si="40"/>
        <v>2d 12h 48m</v>
      </c>
      <c r="EY16" s="8">
        <f t="shared" si="143"/>
        <v>14</v>
      </c>
      <c r="EZ16" s="5">
        <v>1</v>
      </c>
      <c r="FA16" s="47">
        <v>1</v>
      </c>
      <c r="FB16" s="25">
        <f t="shared" si="41"/>
        <v>575</v>
      </c>
      <c r="FC16" s="25">
        <f t="shared" si="144"/>
        <v>4230</v>
      </c>
      <c r="FD16" s="47">
        <v>1</v>
      </c>
      <c r="FE16" s="25">
        <f t="shared" si="42"/>
        <v>230</v>
      </c>
      <c r="FF16" s="47">
        <v>1</v>
      </c>
      <c r="FG16" s="25">
        <f t="shared" si="43"/>
        <v>816000</v>
      </c>
      <c r="FH16" s="2">
        <v>1</v>
      </c>
      <c r="FI16" s="25">
        <f t="shared" si="44"/>
        <v>103000</v>
      </c>
      <c r="FJ16" s="33" t="str">
        <f t="shared" si="45"/>
        <v>5d 7h 46m</v>
      </c>
      <c r="FK16" s="46">
        <v>1</v>
      </c>
      <c r="FL16" s="25">
        <f t="shared" si="46"/>
        <v>460000</v>
      </c>
      <c r="FM16" s="45">
        <v>3</v>
      </c>
      <c r="FN16" s="1">
        <f t="shared" si="47"/>
        <v>1760000</v>
      </c>
      <c r="FO16" s="3"/>
      <c r="FP16" s="8">
        <f t="shared" si="145"/>
        <v>14</v>
      </c>
      <c r="FQ16" s="5">
        <v>1</v>
      </c>
      <c r="FR16" s="47">
        <v>1</v>
      </c>
      <c r="FS16" s="25">
        <f t="shared" si="48"/>
        <v>575</v>
      </c>
      <c r="FT16" s="25">
        <f t="shared" si="146"/>
        <v>4230</v>
      </c>
      <c r="FU16" s="47">
        <v>1</v>
      </c>
      <c r="FV16" s="25">
        <f t="shared" si="49"/>
        <v>230</v>
      </c>
      <c r="FW16" s="47">
        <v>0.5</v>
      </c>
      <c r="FX16" s="25">
        <f t="shared" si="50"/>
        <v>408000</v>
      </c>
      <c r="FY16" s="2">
        <v>1</v>
      </c>
      <c r="FZ16" s="25">
        <f t="shared" si="51"/>
        <v>103000</v>
      </c>
      <c r="GA16" s="33" t="str">
        <f t="shared" si="52"/>
        <v>5d 7h 46m</v>
      </c>
      <c r="GB16" s="46">
        <v>1</v>
      </c>
      <c r="GC16" s="25">
        <f t="shared" si="53"/>
        <v>460000</v>
      </c>
      <c r="GD16" s="45">
        <f t="shared" si="229"/>
        <v>1.2</v>
      </c>
      <c r="GE16" s="3">
        <f t="shared" si="54"/>
        <v>9670</v>
      </c>
      <c r="GF16" s="7">
        <f t="shared" si="230"/>
        <v>1.3</v>
      </c>
      <c r="GG16" s="3">
        <f t="shared" si="55"/>
        <v>588000</v>
      </c>
      <c r="GH16" s="6" t="str">
        <f t="shared" si="56"/>
        <v>2d 12h 48m</v>
      </c>
      <c r="GJ16" s="8">
        <f t="shared" si="147"/>
        <v>8</v>
      </c>
      <c r="GK16" s="5">
        <v>1</v>
      </c>
      <c r="GL16" s="47">
        <v>1</v>
      </c>
      <c r="GM16" s="25">
        <f t="shared" si="57"/>
        <v>575</v>
      </c>
      <c r="GN16" s="25">
        <f t="shared" si="148"/>
        <v>4021</v>
      </c>
      <c r="GO16" s="47">
        <v>1</v>
      </c>
      <c r="GP16" s="25">
        <f t="shared" si="58"/>
        <v>230</v>
      </c>
      <c r="GQ16" s="47">
        <v>1.2</v>
      </c>
      <c r="GR16" s="25">
        <f t="shared" si="59"/>
        <v>979000</v>
      </c>
      <c r="GS16" s="2">
        <v>1</v>
      </c>
      <c r="GT16" s="25">
        <f t="shared" si="60"/>
        <v>103000</v>
      </c>
      <c r="GU16" s="33" t="str">
        <f t="shared" si="61"/>
        <v>5d 7h 46m</v>
      </c>
      <c r="GV16" s="46">
        <v>1</v>
      </c>
      <c r="GW16" s="25">
        <f t="shared" si="62"/>
        <v>460000</v>
      </c>
      <c r="GX16" s="45">
        <v>3</v>
      </c>
      <c r="GY16" s="1">
        <f t="shared" si="63"/>
        <v>1410000</v>
      </c>
      <c r="GZ16" s="3"/>
      <c r="HA16" s="8">
        <f t="shared" si="149"/>
        <v>8</v>
      </c>
      <c r="HB16" s="5">
        <v>1</v>
      </c>
      <c r="HC16" s="47">
        <v>1</v>
      </c>
      <c r="HD16" s="25">
        <f t="shared" si="64"/>
        <v>575</v>
      </c>
      <c r="HE16" s="25">
        <f t="shared" si="150"/>
        <v>4021</v>
      </c>
      <c r="HF16" s="47">
        <v>1</v>
      </c>
      <c r="HG16" s="25">
        <f t="shared" si="65"/>
        <v>230</v>
      </c>
      <c r="HH16" s="47">
        <v>0.5</v>
      </c>
      <c r="HI16" s="25">
        <f t="shared" si="66"/>
        <v>408000</v>
      </c>
      <c r="HJ16" s="2">
        <v>1</v>
      </c>
      <c r="HK16" s="25">
        <f t="shared" si="67"/>
        <v>103000</v>
      </c>
      <c r="HL16" s="33" t="str">
        <f t="shared" si="68"/>
        <v>5d 7h 46m</v>
      </c>
      <c r="HM16" s="46">
        <v>1</v>
      </c>
      <c r="HN16" s="25">
        <f t="shared" si="69"/>
        <v>460000</v>
      </c>
      <c r="HO16" s="45">
        <v>0.8</v>
      </c>
      <c r="HP16" s="3">
        <f t="shared" si="199"/>
        <v>7740</v>
      </c>
      <c r="HQ16" s="7">
        <v>0.8</v>
      </c>
      <c r="HR16" s="3">
        <f t="shared" si="200"/>
        <v>470000</v>
      </c>
      <c r="HS16" s="6" t="str">
        <f t="shared" si="70"/>
        <v>2d 12h 43m</v>
      </c>
      <c r="HU16" s="8">
        <f t="shared" si="151"/>
        <v>14</v>
      </c>
      <c r="HV16" s="5">
        <v>1</v>
      </c>
      <c r="HW16" s="47">
        <v>1</v>
      </c>
      <c r="HX16" s="25">
        <f t="shared" si="71"/>
        <v>575</v>
      </c>
      <c r="HY16" s="25">
        <f t="shared" si="152"/>
        <v>4230</v>
      </c>
      <c r="HZ16" s="47">
        <v>2</v>
      </c>
      <c r="IA16" s="25">
        <f t="shared" si="72"/>
        <v>460</v>
      </c>
      <c r="IB16" s="47">
        <v>2.5</v>
      </c>
      <c r="IC16" s="25">
        <f t="shared" si="73"/>
        <v>2040000</v>
      </c>
      <c r="ID16" s="2">
        <v>2.5</v>
      </c>
      <c r="IE16" s="25">
        <f t="shared" si="74"/>
        <v>258000</v>
      </c>
      <c r="IF16" s="33" t="str">
        <f t="shared" si="75"/>
        <v>10d 15h 33m</v>
      </c>
      <c r="IG16" s="46">
        <v>2</v>
      </c>
      <c r="IH16" s="25">
        <f t="shared" si="76"/>
        <v>920000</v>
      </c>
      <c r="IK16" s="8">
        <f t="shared" si="153"/>
        <v>10</v>
      </c>
      <c r="IL16" s="5">
        <v>1</v>
      </c>
      <c r="IM16" s="47">
        <v>1</v>
      </c>
      <c r="IN16" s="25">
        <f t="shared" si="77"/>
        <v>575</v>
      </c>
      <c r="IO16" s="25">
        <f t="shared" si="154"/>
        <v>4165</v>
      </c>
      <c r="IP16" s="47">
        <v>3</v>
      </c>
      <c r="IQ16" s="25">
        <f t="shared" si="78"/>
        <v>690</v>
      </c>
      <c r="IR16" s="47">
        <v>4</v>
      </c>
      <c r="IS16" s="25">
        <f t="shared" si="79"/>
        <v>3260000</v>
      </c>
      <c r="IT16" s="2">
        <v>3</v>
      </c>
      <c r="IU16" s="25">
        <f t="shared" si="80"/>
        <v>309000</v>
      </c>
      <c r="IV16" s="33" t="str">
        <f t="shared" si="81"/>
        <v>10d 15h 33m</v>
      </c>
      <c r="IW16" s="46">
        <v>2</v>
      </c>
      <c r="IX16" s="25">
        <f t="shared" si="82"/>
        <v>920000</v>
      </c>
      <c r="IY16" s="25">
        <v>21</v>
      </c>
      <c r="IZ16" s="25">
        <v>15</v>
      </c>
      <c r="JA16" s="25">
        <v>5</v>
      </c>
      <c r="JB16" s="7"/>
      <c r="JC16" s="8">
        <f t="shared" si="155"/>
        <v>9</v>
      </c>
      <c r="JD16" s="5">
        <v>1</v>
      </c>
      <c r="JE16" s="47">
        <v>1</v>
      </c>
      <c r="JF16" s="25">
        <f t="shared" si="83"/>
        <v>575</v>
      </c>
      <c r="JG16" s="25">
        <f t="shared" si="156"/>
        <v>4093</v>
      </c>
      <c r="JH16" s="47">
        <v>0.5</v>
      </c>
      <c r="JI16" s="25">
        <f t="shared" si="84"/>
        <v>115</v>
      </c>
      <c r="JJ16" s="47">
        <v>2.5</v>
      </c>
      <c r="JK16" s="25">
        <f t="shared" si="85"/>
        <v>2040000</v>
      </c>
      <c r="JL16" s="2">
        <v>2.5</v>
      </c>
      <c r="JM16" s="25">
        <f t="shared" si="86"/>
        <v>258000</v>
      </c>
      <c r="JN16" s="33" t="str">
        <f t="shared" si="87"/>
        <v>7d 23h 40m</v>
      </c>
      <c r="JO16" s="46">
        <v>1.5</v>
      </c>
      <c r="JP16" s="25">
        <f t="shared" si="88"/>
        <v>690000</v>
      </c>
      <c r="JQ16" s="7"/>
      <c r="JR16" s="8">
        <f t="shared" si="89"/>
        <v>1</v>
      </c>
      <c r="JS16" s="5">
        <v>0</v>
      </c>
      <c r="JT16" s="47">
        <v>1</v>
      </c>
      <c r="JU16" s="25">
        <f t="shared" si="90"/>
        <v>0</v>
      </c>
      <c r="JV16" s="25">
        <f t="shared" si="157"/>
        <v>0</v>
      </c>
      <c r="JW16" s="47">
        <v>1</v>
      </c>
      <c r="JX16" s="25">
        <f t="shared" si="91"/>
        <v>0</v>
      </c>
      <c r="JY16" s="47">
        <v>1.5</v>
      </c>
      <c r="JZ16" s="25">
        <f>IF(JS16,baseBetterNumbers(JY16*$DD16),IF(JR16-1,JZ15,0))</f>
        <v>0</v>
      </c>
      <c r="KA16" s="2">
        <v>1.5</v>
      </c>
      <c r="KB16" s="25">
        <f t="shared" si="92"/>
        <v>0</v>
      </c>
      <c r="KC16" s="33" t="str">
        <f t="shared" si="93"/>
        <v>0h 0m</v>
      </c>
      <c r="KD16" s="46">
        <v>1</v>
      </c>
      <c r="KE16" s="25">
        <f t="shared" si="94"/>
        <v>0</v>
      </c>
      <c r="KF16" s="7"/>
      <c r="KG16" s="8">
        <f t="shared" si="158"/>
        <v>14</v>
      </c>
      <c r="KH16" s="5">
        <v>1</v>
      </c>
      <c r="KI16" s="47">
        <v>1</v>
      </c>
      <c r="KJ16" s="25">
        <f t="shared" si="95"/>
        <v>575</v>
      </c>
      <c r="KK16" s="25">
        <f t="shared" si="159"/>
        <v>4230</v>
      </c>
      <c r="KL16" s="47">
        <v>1</v>
      </c>
      <c r="KM16" s="25">
        <f t="shared" si="96"/>
        <v>230</v>
      </c>
      <c r="KN16" s="47">
        <v>1.5</v>
      </c>
      <c r="KO16" s="25">
        <f t="shared" si="97"/>
        <v>1220000</v>
      </c>
      <c r="KP16" s="2">
        <v>1.5</v>
      </c>
      <c r="KQ16" s="25">
        <f t="shared" si="98"/>
        <v>154000</v>
      </c>
      <c r="KR16" s="33" t="str">
        <f t="shared" si="99"/>
        <v>5d 7h 46m</v>
      </c>
      <c r="KS16" s="46">
        <v>1</v>
      </c>
      <c r="KT16" s="25">
        <f t="shared" si="100"/>
        <v>460000</v>
      </c>
      <c r="KU16" s="7"/>
      <c r="KV16" s="8">
        <f t="shared" si="160"/>
        <v>7</v>
      </c>
      <c r="KW16" s="5">
        <v>1</v>
      </c>
      <c r="KX16" s="47">
        <v>1</v>
      </c>
      <c r="KY16" s="25">
        <f t="shared" si="101"/>
        <v>575</v>
      </c>
      <c r="KZ16" s="25">
        <f t="shared" si="161"/>
        <v>3877</v>
      </c>
      <c r="LA16" s="47">
        <v>1.5</v>
      </c>
      <c r="LB16" s="25">
        <f t="shared" si="102"/>
        <v>345</v>
      </c>
      <c r="LC16" s="47">
        <v>1.5</v>
      </c>
      <c r="LD16" s="25">
        <f t="shared" si="103"/>
        <v>1220000</v>
      </c>
      <c r="LE16" s="2">
        <v>1.5</v>
      </c>
      <c r="LF16" s="25">
        <f t="shared" si="162"/>
        <v>154000</v>
      </c>
      <c r="LG16" s="33" t="str">
        <f t="shared" si="104"/>
        <v>5d 7h 46m</v>
      </c>
      <c r="LH16" s="46">
        <v>1</v>
      </c>
      <c r="LI16" s="25">
        <f t="shared" si="105"/>
        <v>460000</v>
      </c>
      <c r="LJ16" s="7"/>
      <c r="LK16" s="8">
        <f t="shared" si="163"/>
        <v>1</v>
      </c>
      <c r="LL16" s="5">
        <v>1</v>
      </c>
      <c r="LM16" s="47">
        <v>1</v>
      </c>
      <c r="LN16" s="25">
        <f t="shared" si="106"/>
        <v>575</v>
      </c>
      <c r="LO16" s="25">
        <f t="shared" si="164"/>
        <v>575</v>
      </c>
      <c r="LP16" s="47">
        <v>3</v>
      </c>
      <c r="LQ16" s="25">
        <f t="shared" si="107"/>
        <v>690</v>
      </c>
      <c r="LR16" s="47">
        <v>4</v>
      </c>
      <c r="LS16" s="25">
        <f t="shared" si="108"/>
        <v>3260000</v>
      </c>
      <c r="LT16" s="2">
        <v>3</v>
      </c>
      <c r="LU16" s="25">
        <f t="shared" si="165"/>
        <v>309000</v>
      </c>
      <c r="LV16" s="33" t="str">
        <f t="shared" si="109"/>
        <v>5d 7h 46m</v>
      </c>
      <c r="LW16" s="46">
        <v>1</v>
      </c>
      <c r="LX16" s="25">
        <f t="shared" si="110"/>
        <v>460000</v>
      </c>
      <c r="LY16" s="7"/>
      <c r="LZ16" s="8">
        <f t="shared" si="166"/>
        <v>6</v>
      </c>
      <c r="MA16" s="5">
        <v>1</v>
      </c>
      <c r="MB16" s="47">
        <v>1</v>
      </c>
      <c r="MC16" s="25">
        <f t="shared" si="111"/>
        <v>575</v>
      </c>
      <c r="MD16" s="25">
        <f t="shared" si="167"/>
        <v>3589</v>
      </c>
      <c r="ME16" s="47">
        <v>0.2</v>
      </c>
      <c r="MF16" s="25">
        <f t="shared" si="112"/>
        <v>46</v>
      </c>
      <c r="MG16" s="47">
        <v>3</v>
      </c>
      <c r="MH16" s="25">
        <f t="shared" si="113"/>
        <v>2450000</v>
      </c>
      <c r="MI16" s="2">
        <v>3</v>
      </c>
      <c r="MJ16" s="25">
        <f t="shared" si="168"/>
        <v>309000</v>
      </c>
      <c r="MK16" s="33" t="str">
        <f t="shared" si="114"/>
        <v>5d 7h 46m</v>
      </c>
      <c r="ML16" s="46">
        <v>1</v>
      </c>
      <c r="MM16" s="25">
        <f t="shared" si="115"/>
        <v>460000</v>
      </c>
      <c r="MN16" s="7"/>
      <c r="MO16" s="8">
        <f t="shared" si="169"/>
        <v>12</v>
      </c>
      <c r="MP16" s="5">
        <v>1</v>
      </c>
      <c r="MQ16" s="47">
        <v>1</v>
      </c>
      <c r="MR16" s="25">
        <f t="shared" si="116"/>
        <v>575</v>
      </c>
      <c r="MS16" s="25">
        <f t="shared" si="170"/>
        <v>4219</v>
      </c>
      <c r="MT16" s="47">
        <v>1.5</v>
      </c>
      <c r="MU16" s="25">
        <f t="shared" si="117"/>
        <v>345</v>
      </c>
      <c r="MV16" s="47">
        <v>2.5</v>
      </c>
      <c r="MW16" s="25">
        <f t="shared" si="118"/>
        <v>2040000</v>
      </c>
      <c r="MX16" s="2">
        <v>3</v>
      </c>
      <c r="MY16" s="25">
        <f t="shared" si="171"/>
        <v>309000</v>
      </c>
      <c r="MZ16" s="33" t="str">
        <f t="shared" si="119"/>
        <v>5d 7h 46m</v>
      </c>
      <c r="NA16" s="46">
        <v>1</v>
      </c>
      <c r="NB16" s="25">
        <f t="shared" si="120"/>
        <v>460000</v>
      </c>
      <c r="NC16" s="7"/>
      <c r="ND16" s="8">
        <f t="shared" si="172"/>
        <v>13</v>
      </c>
      <c r="NE16" s="5">
        <v>1</v>
      </c>
      <c r="NF16" s="47">
        <v>1</v>
      </c>
      <c r="NG16" s="25">
        <f t="shared" si="121"/>
        <v>575</v>
      </c>
      <c r="NH16" s="25">
        <f t="shared" si="173"/>
        <v>4228</v>
      </c>
      <c r="NI16" s="47">
        <v>2.5</v>
      </c>
      <c r="NJ16" s="25">
        <f>IF(NE16,baseBetterNumbers(NI16*$DD16),IF(ND16,NJ15,0))</f>
        <v>2040000</v>
      </c>
      <c r="NK16" s="2">
        <v>3</v>
      </c>
      <c r="NL16" s="25">
        <f>IF(NE16,baseBetterNumbers(NK16*$DG16),IF(ND16-1,NL15,0))</f>
        <v>309000</v>
      </c>
      <c r="NM16" s="33" t="str">
        <f t="shared" si="122"/>
        <v>5d 7h 46m</v>
      </c>
      <c r="NN16" s="46">
        <v>1</v>
      </c>
      <c r="NO16" s="25">
        <f>IF(NE16,baseBetterNumbers(NN16*$DK16),IF(ND16,NO15,0))</f>
        <v>460000</v>
      </c>
      <c r="NP16" s="47">
        <v>1.3</v>
      </c>
      <c r="NQ16" s="25">
        <f t="shared" si="188"/>
        <v>2842.7563008000002</v>
      </c>
      <c r="NR16" s="1">
        <f t="shared" si="123"/>
        <v>14213.781504</v>
      </c>
      <c r="NS16" s="1" t="e">
        <f>G16+AJ16*DT16+AL16*EK16+AN16*FE16+AP16*FV16+AR16*GP16+AT16*HG16+AV16*IA16+AX16*IQ16+AZ16*JI16+BD16*KM16+BF16*LB16+BH16*LQ16+BJ16*MF16+BL16*MU16+BR16*OA16+BT16*OP16+BV16*#REF!+BX16*#REF!+BZ16*PU16+#REF!*#REF!+#REF!*#REF!</f>
        <v>#REF!</v>
      </c>
      <c r="NU16" s="8">
        <f t="shared" si="174"/>
        <v>11</v>
      </c>
      <c r="NV16" s="5">
        <v>1</v>
      </c>
      <c r="NW16" s="47">
        <v>1</v>
      </c>
      <c r="NX16" s="25">
        <f t="shared" si="124"/>
        <v>575</v>
      </c>
      <c r="NY16" s="25">
        <f t="shared" si="175"/>
        <v>4201</v>
      </c>
      <c r="NZ16" s="47">
        <v>2</v>
      </c>
      <c r="OA16" s="25">
        <f t="shared" si="125"/>
        <v>460</v>
      </c>
      <c r="OB16" s="47">
        <v>4</v>
      </c>
      <c r="OC16" s="25">
        <f t="shared" si="126"/>
        <v>3260000</v>
      </c>
      <c r="OD16" s="2">
        <v>4</v>
      </c>
      <c r="OE16" s="25">
        <f t="shared" si="176"/>
        <v>412000</v>
      </c>
      <c r="OF16" s="33" t="str">
        <f t="shared" si="127"/>
        <v>10d 15h 33m</v>
      </c>
      <c r="OG16" s="46">
        <v>2</v>
      </c>
      <c r="OH16" s="25">
        <f t="shared" si="128"/>
        <v>920000</v>
      </c>
      <c r="OI16" s="7"/>
      <c r="OJ16" s="8">
        <f t="shared" si="177"/>
        <v>11</v>
      </c>
      <c r="OK16" s="5">
        <v>1</v>
      </c>
      <c r="OL16" s="47">
        <v>1</v>
      </c>
      <c r="OM16" s="25">
        <f t="shared" si="129"/>
        <v>575</v>
      </c>
      <c r="ON16" s="25">
        <f t="shared" si="178"/>
        <v>4201</v>
      </c>
      <c r="OO16" s="47">
        <v>2</v>
      </c>
      <c r="OP16" s="25">
        <f t="shared" si="130"/>
        <v>460</v>
      </c>
      <c r="OQ16" s="47">
        <v>5</v>
      </c>
      <c r="OR16" s="25">
        <f t="shared" si="131"/>
        <v>4080000</v>
      </c>
      <c r="OS16" s="2">
        <v>4</v>
      </c>
      <c r="OT16" s="25">
        <f t="shared" si="179"/>
        <v>412000</v>
      </c>
      <c r="OU16" s="33" t="str">
        <f t="shared" si="132"/>
        <v>15d 23h 20m</v>
      </c>
      <c r="OV16" s="46">
        <v>3</v>
      </c>
      <c r="OW16" s="25">
        <f t="shared" si="133"/>
        <v>1380000</v>
      </c>
      <c r="OX16" s="82">
        <f t="shared" si="194"/>
        <v>0.24999999999999989</v>
      </c>
      <c r="OY16" s="82">
        <v>0.5</v>
      </c>
      <c r="OZ16" s="78" t="str">
        <f t="shared" si="191"/>
        <v>5h 0m</v>
      </c>
      <c r="PA16" s="25">
        <v>18000</v>
      </c>
      <c r="PB16" s="47">
        <v>1.5</v>
      </c>
      <c r="PC16" s="25">
        <f>baseBetterNumbers(DD16*PB16)</f>
        <v>1220000</v>
      </c>
      <c r="PD16" s="82">
        <f t="shared" si="195"/>
        <v>0.9500000000000004</v>
      </c>
      <c r="PE16" s="82">
        <f t="shared" si="204"/>
        <v>0.22499999999999998</v>
      </c>
      <c r="PF16" s="25">
        <v>0</v>
      </c>
      <c r="PG16" s="78" t="str">
        <f t="shared" si="192"/>
        <v>20h 0m</v>
      </c>
      <c r="PH16" s="25">
        <f t="shared" si="193"/>
        <v>72000</v>
      </c>
      <c r="PI16" s="47">
        <v>10</v>
      </c>
      <c r="PJ16" s="25">
        <f>baseBetterNumbers(DD16*PI16)</f>
        <v>8160000</v>
      </c>
      <c r="PK16" s="82">
        <v>1</v>
      </c>
      <c r="PL16" s="82">
        <f t="shared" si="196"/>
        <v>0.75000000000000011</v>
      </c>
      <c r="PM16" s="82">
        <f t="shared" si="201"/>
        <v>0.24999999999999997</v>
      </c>
      <c r="PN16" s="25"/>
      <c r="PO16" s="8">
        <f t="shared" si="213"/>
        <v>6</v>
      </c>
      <c r="PP16" s="5">
        <v>1</v>
      </c>
      <c r="PQ16" s="47">
        <v>1</v>
      </c>
      <c r="PR16" s="25">
        <f t="shared" si="214"/>
        <v>575</v>
      </c>
      <c r="PS16" s="25">
        <f t="shared" si="215"/>
        <v>3589</v>
      </c>
      <c r="PT16" s="47">
        <f t="shared" si="222"/>
        <v>2</v>
      </c>
      <c r="PU16" s="25">
        <f t="shared" si="216"/>
        <v>460</v>
      </c>
      <c r="PV16" s="47">
        <f t="shared" si="226"/>
        <v>4</v>
      </c>
      <c r="PW16" s="25">
        <f t="shared" si="217"/>
        <v>3260000</v>
      </c>
      <c r="PX16" s="2">
        <f t="shared" si="223"/>
        <v>6</v>
      </c>
      <c r="PY16" s="25">
        <f t="shared" si="218"/>
        <v>618000</v>
      </c>
      <c r="PZ16" s="33" t="str">
        <f t="shared" si="219"/>
        <v>7d 23h 40m</v>
      </c>
      <c r="QA16" s="46">
        <v>1.5</v>
      </c>
      <c r="QB16" s="25">
        <f t="shared" si="220"/>
        <v>690000</v>
      </c>
    </row>
    <row r="17" spans="1:444">
      <c r="A17" s="23">
        <f t="shared" si="134"/>
        <v>15</v>
      </c>
      <c r="B17" s="8">
        <v>1</v>
      </c>
      <c r="C17" s="47">
        <v>0</v>
      </c>
      <c r="D17" s="25">
        <f>IF(B17,baseBetterNumbers(C17*$CY17),IF(A17-1,D16,0))</f>
        <v>0</v>
      </c>
      <c r="E17" s="25">
        <f t="shared" si="135"/>
        <v>0</v>
      </c>
      <c r="F17" s="47">
        <v>1</v>
      </c>
      <c r="G17" s="25">
        <f>IF(B17,baseBetterNumbers(F17*$DB17),IF(A17-1,G16,0))</f>
        <v>299</v>
      </c>
      <c r="H17" s="47">
        <v>4</v>
      </c>
      <c r="I17" s="25">
        <f>IF(B17,baseBetterNumbers(H17*$DD17),IF(A17-1,I16,0))</f>
        <v>6520000</v>
      </c>
      <c r="J17" s="2">
        <v>3</v>
      </c>
      <c r="K17" s="25">
        <f>IF(B17,baseBetterNumbers(J17*$DG17),IF(A17-1,K16,0))</f>
        <v>462000</v>
      </c>
      <c r="L17" s="33" t="str">
        <f t="shared" si="11"/>
        <v>5d 20h 33m</v>
      </c>
      <c r="M17" s="46">
        <v>1</v>
      </c>
      <c r="N17" s="25">
        <f>IF(B17,baseBetterNumbers(M17*$DK17),IF(A17-1,N16,0))</f>
        <v>506000</v>
      </c>
      <c r="O17" s="7">
        <f t="shared" si="136"/>
        <v>0.5</v>
      </c>
      <c r="P17" s="3">
        <f>baseBetterNumbers(O17*EC17)</f>
        <v>1140000</v>
      </c>
      <c r="Q17" s="3">
        <f>baseBetterNumbers(O17*FN17)</f>
        <v>1140000</v>
      </c>
      <c r="R17" s="3">
        <f>baseBetterNumbers(O17*GY17)</f>
        <v>915000</v>
      </c>
      <c r="S17" s="3">
        <v>40</v>
      </c>
      <c r="T17" s="38">
        <v>8.0000000000000002E-3</v>
      </c>
      <c r="U17" s="38">
        <v>7.5000000000000002E-4</v>
      </c>
      <c r="V17" s="38">
        <v>7.5000000000000002E-4</v>
      </c>
      <c r="W17" s="38">
        <v>7.5000000000000002E-4</v>
      </c>
      <c r="X17" s="3">
        <v>1</v>
      </c>
      <c r="Y17" s="3"/>
      <c r="Z17" s="3"/>
      <c r="AA17" s="3"/>
      <c r="AB17" s="3"/>
      <c r="AC17" s="3"/>
      <c r="AD17" s="3" t="e">
        <f>-AC17+E17+AJ17*DR17+AL17*EI17+AN17*FC17+AP17*FT17+AR17*GN17+AT17*HE17+AV17*HY17+AX17*IO17+AZ17*JG17+BD17*KK17+BF17*KZ17+BH17*LO17+BJ17*MD17+BL17*MS17+BP17*NH17+BR17*NY17+BT17*ON17+BV17*#REF!+BX17*#REF!+BZ17*PS17+#REF!*#REF!+#REF!*#REF!</f>
        <v>#REF!</v>
      </c>
      <c r="AE17" s="3" t="e">
        <f t="shared" si="137"/>
        <v>#REF!</v>
      </c>
      <c r="AF17" s="3"/>
      <c r="AG17" s="3" t="e">
        <f>SUM(AI3:AI17)</f>
        <v>#REF!</v>
      </c>
      <c r="AH17" s="3">
        <f t="shared" si="12"/>
        <v>9</v>
      </c>
      <c r="AI17" s="3" t="e">
        <f>AK17+AM17+AO17+AQ17+AS17+AU17+AW17+AY17+BA17+BE17+BG17+BI17+BK17+BM17+BO17+BQ17+BS17+BU17+BW17+BY17+CA17+#REF!+#REF!</f>
        <v>#REF!</v>
      </c>
      <c r="AJ17" s="3">
        <f>SUM(AK3:AK17)</f>
        <v>3</v>
      </c>
      <c r="AK17" s="3"/>
      <c r="AL17" s="3">
        <f>SUM(AM3:AM17)</f>
        <v>4</v>
      </c>
      <c r="AM17" s="3"/>
      <c r="AN17" s="3">
        <f>SUM(AO3:AO17)</f>
        <v>3</v>
      </c>
      <c r="AO17" s="3"/>
      <c r="AP17" s="3">
        <f>SUM(AQ3:AQ17)</f>
        <v>4</v>
      </c>
      <c r="AQ17" s="3"/>
      <c r="AR17" s="3">
        <f>SUM(AS3:AS17)</f>
        <v>2</v>
      </c>
      <c r="AS17" s="3"/>
      <c r="AT17" s="3">
        <f>SUM(AU3:AU17)</f>
        <v>2</v>
      </c>
      <c r="AU17" s="3"/>
      <c r="AV17" s="3">
        <f>SUM(AW3:AW17)</f>
        <v>4</v>
      </c>
      <c r="AW17" s="3"/>
      <c r="AX17" s="3">
        <f>SUM(AY3:AY17)</f>
        <v>1</v>
      </c>
      <c r="AY17" s="3"/>
      <c r="AZ17" s="3">
        <f>SUM(BA3:BA17)</f>
        <v>1</v>
      </c>
      <c r="BA17" s="3"/>
      <c r="BB17" s="3">
        <f>SUM(BC3:BC17)</f>
        <v>19</v>
      </c>
      <c r="BC17" s="3">
        <v>1</v>
      </c>
      <c r="BD17" s="3">
        <f>SUM(BE3:BE17)</f>
        <v>4</v>
      </c>
      <c r="BE17" s="3"/>
      <c r="BF17" s="3">
        <f>SUM(BG3:BG17)</f>
        <v>2</v>
      </c>
      <c r="BG17" s="3"/>
      <c r="BH17" s="3">
        <f>SUM(BI3:BI17)</f>
        <v>1</v>
      </c>
      <c r="BI17" s="3"/>
      <c r="BJ17" s="3">
        <f>SUM(BK3:BK17)</f>
        <v>2</v>
      </c>
      <c r="BK17" s="3"/>
      <c r="BL17" s="3">
        <f>SUM(BM3:BM17)</f>
        <v>4</v>
      </c>
      <c r="BM17" s="3"/>
      <c r="BN17" s="3">
        <f>SUM(BO3:BO17)</f>
        <v>1</v>
      </c>
      <c r="BO17" s="3"/>
      <c r="BP17" s="3">
        <f>SUM(BQ3:BQ17)</f>
        <v>5</v>
      </c>
      <c r="BQ17" s="3"/>
      <c r="BR17" s="3">
        <f>SUM(BS3:BS17)</f>
        <v>1</v>
      </c>
      <c r="BS17" s="3"/>
      <c r="BT17" s="3">
        <f>SUM(BU3:BU17)</f>
        <v>1</v>
      </c>
      <c r="BU17" s="3"/>
      <c r="BV17" s="3">
        <f>SUM(BW3:BW17)</f>
        <v>1</v>
      </c>
      <c r="BW17" s="3"/>
      <c r="BX17" s="3">
        <f>SUM(BY3:BY17)</f>
        <v>1</v>
      </c>
      <c r="BY17" s="3"/>
      <c r="BZ17" s="3">
        <f>SUM(CA3:CA17)</f>
        <v>1</v>
      </c>
      <c r="CA17" s="3"/>
      <c r="CC17" s="1">
        <f t="shared" si="0"/>
        <v>46400</v>
      </c>
      <c r="CD17" s="1">
        <f t="shared" si="1"/>
        <v>8010000</v>
      </c>
      <c r="CE17" s="1">
        <f t="shared" si="2"/>
        <v>3056000</v>
      </c>
      <c r="CF17" s="12">
        <f t="shared" si="3"/>
        <v>65.862068965517238</v>
      </c>
      <c r="CG17" s="12">
        <f t="shared" si="13"/>
        <v>2.6210732984293195</v>
      </c>
      <c r="CI17" s="1">
        <f t="shared" si="4"/>
        <v>46400</v>
      </c>
      <c r="CJ17" s="1">
        <f t="shared" si="5"/>
        <v>8010000</v>
      </c>
      <c r="CK17" s="1">
        <f t="shared" si="6"/>
        <v>3056000</v>
      </c>
      <c r="CL17" s="12">
        <f t="shared" si="14"/>
        <v>65.862068965517238</v>
      </c>
      <c r="CM17" s="12">
        <f t="shared" si="15"/>
        <v>2.6210732984293195</v>
      </c>
      <c r="CO17" s="1">
        <f t="shared" si="7"/>
        <v>18560</v>
      </c>
      <c r="CP17" s="1">
        <f t="shared" si="8"/>
        <v>4575000</v>
      </c>
      <c r="CQ17" s="1">
        <f t="shared" si="9"/>
        <v>1222000</v>
      </c>
      <c r="CR17" s="12">
        <f t="shared" si="16"/>
        <v>65.840517241379317</v>
      </c>
      <c r="CS17" s="12">
        <f t="shared" si="17"/>
        <v>3.743862520458265</v>
      </c>
      <c r="CV17" s="8">
        <f t="shared" si="18"/>
        <v>15</v>
      </c>
      <c r="CW17" s="8">
        <v>1</v>
      </c>
      <c r="CX17" s="45">
        <f t="shared" si="227"/>
        <v>0.125</v>
      </c>
      <c r="CY17" s="25">
        <f t="shared" si="10"/>
        <v>632</v>
      </c>
      <c r="CZ17" s="25">
        <f t="shared" si="19"/>
        <v>4862</v>
      </c>
      <c r="DA17" s="47">
        <f t="shared" si="211"/>
        <v>1.3</v>
      </c>
      <c r="DB17" s="3">
        <f t="shared" si="20"/>
        <v>299</v>
      </c>
      <c r="DC17" s="3">
        <f t="shared" si="182"/>
        <v>2</v>
      </c>
      <c r="DD17" s="3">
        <f t="shared" si="21"/>
        <v>1630000</v>
      </c>
      <c r="DE17" s="20">
        <f t="shared" si="22"/>
        <v>0.20349563046192259</v>
      </c>
      <c r="DF17" s="2">
        <f t="shared" si="225"/>
        <v>1.5</v>
      </c>
      <c r="DG17" s="3">
        <f>IF(CW17,baseBetterNumbers(DG16*DF17),DG16)</f>
        <v>154000</v>
      </c>
      <c r="DH17" s="20">
        <f t="shared" si="198"/>
        <v>3.3661202185792348E-2</v>
      </c>
      <c r="DI17" s="33" t="str">
        <f t="shared" si="23"/>
        <v>5d 20h 33m</v>
      </c>
      <c r="DJ17" s="46">
        <f t="shared" si="190"/>
        <v>1.1000000000000001</v>
      </c>
      <c r="DK17" s="28">
        <f t="shared" si="24"/>
        <v>505992.9600000002</v>
      </c>
      <c r="DN17" s="8">
        <f t="shared" si="139"/>
        <v>15</v>
      </c>
      <c r="DO17" s="8">
        <v>1</v>
      </c>
      <c r="DP17" s="47">
        <v>1</v>
      </c>
      <c r="DQ17" s="25">
        <f t="shared" si="25"/>
        <v>632</v>
      </c>
      <c r="DR17" s="25">
        <f t="shared" si="140"/>
        <v>4862</v>
      </c>
      <c r="DS17" s="47">
        <v>1</v>
      </c>
      <c r="DT17" s="25">
        <f t="shared" si="26"/>
        <v>299</v>
      </c>
      <c r="DU17" s="47">
        <v>1</v>
      </c>
      <c r="DV17" s="25">
        <f t="shared" si="27"/>
        <v>1630000</v>
      </c>
      <c r="DW17" s="2">
        <v>1</v>
      </c>
      <c r="DX17" s="25">
        <f t="shared" si="28"/>
        <v>154000</v>
      </c>
      <c r="DY17" s="33" t="str">
        <f t="shared" si="29"/>
        <v>5d 20h 33m</v>
      </c>
      <c r="DZ17" s="46">
        <v>1</v>
      </c>
      <c r="EA17" s="25">
        <f t="shared" si="30"/>
        <v>506000</v>
      </c>
      <c r="EB17" s="45">
        <v>3</v>
      </c>
      <c r="EC17" s="1">
        <f t="shared" si="31"/>
        <v>2290000</v>
      </c>
      <c r="ED17" s="3"/>
      <c r="EE17" s="8">
        <f t="shared" si="141"/>
        <v>15</v>
      </c>
      <c r="EF17" s="8">
        <v>1</v>
      </c>
      <c r="EG17" s="47">
        <v>1</v>
      </c>
      <c r="EH17" s="25">
        <f t="shared" si="32"/>
        <v>632</v>
      </c>
      <c r="EI17" s="25">
        <f t="shared" si="142"/>
        <v>4862</v>
      </c>
      <c r="EJ17" s="47">
        <v>1</v>
      </c>
      <c r="EK17" s="25">
        <f t="shared" si="33"/>
        <v>299</v>
      </c>
      <c r="EL17" s="47">
        <v>0.5</v>
      </c>
      <c r="EM17" s="25">
        <f t="shared" si="34"/>
        <v>815000</v>
      </c>
      <c r="EN17" s="2">
        <v>1</v>
      </c>
      <c r="EO17" s="25">
        <f t="shared" si="35"/>
        <v>154000</v>
      </c>
      <c r="EP17" s="33" t="str">
        <f t="shared" si="36"/>
        <v>5d 20h 33m</v>
      </c>
      <c r="EQ17" s="46">
        <v>1</v>
      </c>
      <c r="ER17" s="25">
        <f t="shared" si="37"/>
        <v>506000</v>
      </c>
      <c r="ES17" s="45">
        <f t="shared" si="228"/>
        <v>1.2</v>
      </c>
      <c r="ET17" s="3">
        <f t="shared" si="38"/>
        <v>11600</v>
      </c>
      <c r="EU17" s="7">
        <f t="shared" si="184"/>
        <v>1.3</v>
      </c>
      <c r="EV17" s="3">
        <f t="shared" si="39"/>
        <v>764000</v>
      </c>
      <c r="EW17" s="6" t="str">
        <f t="shared" si="40"/>
        <v>2d 17h 51m</v>
      </c>
      <c r="EY17" s="8">
        <f t="shared" si="143"/>
        <v>15</v>
      </c>
      <c r="EZ17" s="8">
        <v>1</v>
      </c>
      <c r="FA17" s="47">
        <v>1</v>
      </c>
      <c r="FB17" s="25">
        <f t="shared" si="41"/>
        <v>632</v>
      </c>
      <c r="FC17" s="25">
        <f t="shared" si="144"/>
        <v>4862</v>
      </c>
      <c r="FD17" s="47">
        <v>1</v>
      </c>
      <c r="FE17" s="25">
        <f t="shared" si="42"/>
        <v>299</v>
      </c>
      <c r="FF17" s="47">
        <v>1</v>
      </c>
      <c r="FG17" s="25">
        <f t="shared" si="43"/>
        <v>1630000</v>
      </c>
      <c r="FH17" s="2">
        <v>1</v>
      </c>
      <c r="FI17" s="25">
        <f t="shared" si="44"/>
        <v>154000</v>
      </c>
      <c r="FJ17" s="33" t="str">
        <f t="shared" si="45"/>
        <v>5d 20h 33m</v>
      </c>
      <c r="FK17" s="46">
        <v>1</v>
      </c>
      <c r="FL17" s="25">
        <f t="shared" si="46"/>
        <v>506000</v>
      </c>
      <c r="FM17" s="45">
        <v>3</v>
      </c>
      <c r="FN17" s="1">
        <f t="shared" si="47"/>
        <v>2290000</v>
      </c>
      <c r="FO17" s="3"/>
      <c r="FP17" s="8">
        <f t="shared" si="145"/>
        <v>15</v>
      </c>
      <c r="FQ17" s="8">
        <v>1</v>
      </c>
      <c r="FR17" s="47">
        <v>1</v>
      </c>
      <c r="FS17" s="25">
        <f t="shared" si="48"/>
        <v>632</v>
      </c>
      <c r="FT17" s="25">
        <f t="shared" si="146"/>
        <v>4862</v>
      </c>
      <c r="FU17" s="47">
        <v>1</v>
      </c>
      <c r="FV17" s="25">
        <f t="shared" si="49"/>
        <v>299</v>
      </c>
      <c r="FW17" s="47">
        <v>0.5</v>
      </c>
      <c r="FX17" s="25">
        <f t="shared" si="50"/>
        <v>815000</v>
      </c>
      <c r="FY17" s="2">
        <v>1</v>
      </c>
      <c r="FZ17" s="25">
        <f t="shared" si="51"/>
        <v>154000</v>
      </c>
      <c r="GA17" s="33" t="str">
        <f t="shared" si="52"/>
        <v>5d 20h 33m</v>
      </c>
      <c r="GB17" s="46">
        <v>1</v>
      </c>
      <c r="GC17" s="25">
        <f t="shared" si="53"/>
        <v>506000</v>
      </c>
      <c r="GD17" s="45">
        <f t="shared" si="229"/>
        <v>1.2</v>
      </c>
      <c r="GE17" s="3">
        <f t="shared" si="54"/>
        <v>11600</v>
      </c>
      <c r="GF17" s="7">
        <f t="shared" si="230"/>
        <v>1.3</v>
      </c>
      <c r="GG17" s="3">
        <f t="shared" si="55"/>
        <v>764000</v>
      </c>
      <c r="GH17" s="6" t="str">
        <f t="shared" si="56"/>
        <v>2d 17h 51m</v>
      </c>
      <c r="GJ17" s="8">
        <f t="shared" si="147"/>
        <v>9</v>
      </c>
      <c r="GK17" s="8">
        <v>1</v>
      </c>
      <c r="GL17" s="47">
        <v>1</v>
      </c>
      <c r="GM17" s="25">
        <f t="shared" si="57"/>
        <v>632</v>
      </c>
      <c r="GN17" s="25">
        <f t="shared" si="148"/>
        <v>4653</v>
      </c>
      <c r="GO17" s="47">
        <v>1</v>
      </c>
      <c r="GP17" s="25">
        <f t="shared" si="58"/>
        <v>299</v>
      </c>
      <c r="GQ17" s="47">
        <v>1.2</v>
      </c>
      <c r="GR17" s="25">
        <f t="shared" si="59"/>
        <v>1960000</v>
      </c>
      <c r="GS17" s="2">
        <v>1</v>
      </c>
      <c r="GT17" s="25">
        <f t="shared" si="60"/>
        <v>154000</v>
      </c>
      <c r="GU17" s="33" t="str">
        <f t="shared" si="61"/>
        <v>5d 20h 33m</v>
      </c>
      <c r="GV17" s="46">
        <v>1</v>
      </c>
      <c r="GW17" s="25">
        <f t="shared" si="62"/>
        <v>506000</v>
      </c>
      <c r="GX17" s="45">
        <v>3</v>
      </c>
      <c r="GY17" s="1">
        <f t="shared" si="63"/>
        <v>1830000</v>
      </c>
      <c r="GZ17" s="3"/>
      <c r="HA17" s="8">
        <f t="shared" si="149"/>
        <v>9</v>
      </c>
      <c r="HB17" s="8">
        <v>1</v>
      </c>
      <c r="HC17" s="47">
        <v>1</v>
      </c>
      <c r="HD17" s="25">
        <f t="shared" si="64"/>
        <v>632</v>
      </c>
      <c r="HE17" s="25">
        <f t="shared" si="150"/>
        <v>4653</v>
      </c>
      <c r="HF17" s="47">
        <v>1</v>
      </c>
      <c r="HG17" s="25">
        <f t="shared" si="65"/>
        <v>299</v>
      </c>
      <c r="HH17" s="47">
        <v>0.5</v>
      </c>
      <c r="HI17" s="25">
        <f t="shared" si="66"/>
        <v>815000</v>
      </c>
      <c r="HJ17" s="2">
        <v>1</v>
      </c>
      <c r="HK17" s="25">
        <f t="shared" si="67"/>
        <v>154000</v>
      </c>
      <c r="HL17" s="33" t="str">
        <f t="shared" si="68"/>
        <v>5d 20h 33m</v>
      </c>
      <c r="HM17" s="46">
        <v>1</v>
      </c>
      <c r="HN17" s="25">
        <f t="shared" si="69"/>
        <v>506000</v>
      </c>
      <c r="HO17" s="45">
        <v>0.8</v>
      </c>
      <c r="HP17" s="3">
        <f t="shared" si="199"/>
        <v>9280</v>
      </c>
      <c r="HQ17" s="7">
        <v>0.8</v>
      </c>
      <c r="HR17" s="3">
        <f t="shared" si="200"/>
        <v>611000</v>
      </c>
      <c r="HS17" s="6" t="str">
        <f t="shared" si="70"/>
        <v>2d 17h 50m</v>
      </c>
      <c r="HU17" s="8">
        <f t="shared" si="151"/>
        <v>15</v>
      </c>
      <c r="HV17" s="8">
        <v>1</v>
      </c>
      <c r="HW17" s="47">
        <v>1</v>
      </c>
      <c r="HX17" s="25">
        <f t="shared" si="71"/>
        <v>632</v>
      </c>
      <c r="HY17" s="25">
        <f t="shared" si="152"/>
        <v>4862</v>
      </c>
      <c r="HZ17" s="47">
        <v>2</v>
      </c>
      <c r="IA17" s="25">
        <f t="shared" si="72"/>
        <v>598</v>
      </c>
      <c r="IB17" s="47">
        <v>2.5</v>
      </c>
      <c r="IC17" s="25">
        <f t="shared" si="73"/>
        <v>4080000</v>
      </c>
      <c r="ID17" s="2">
        <v>2.5</v>
      </c>
      <c r="IE17" s="25">
        <f t="shared" si="74"/>
        <v>385000</v>
      </c>
      <c r="IF17" s="33" t="str">
        <f t="shared" si="75"/>
        <v>11d 16h 33m</v>
      </c>
      <c r="IG17" s="46">
        <v>2</v>
      </c>
      <c r="IH17" s="25">
        <f t="shared" si="76"/>
        <v>1010000</v>
      </c>
      <c r="IK17" s="8">
        <f t="shared" si="153"/>
        <v>11</v>
      </c>
      <c r="IL17" s="8">
        <v>1</v>
      </c>
      <c r="IM17" s="47">
        <v>1</v>
      </c>
      <c r="IN17" s="25">
        <f t="shared" si="77"/>
        <v>632</v>
      </c>
      <c r="IO17" s="25">
        <f t="shared" si="154"/>
        <v>4797</v>
      </c>
      <c r="IP17" s="47">
        <v>3</v>
      </c>
      <c r="IQ17" s="25">
        <f t="shared" si="78"/>
        <v>897</v>
      </c>
      <c r="IR17" s="47">
        <v>3</v>
      </c>
      <c r="IS17" s="25">
        <f t="shared" si="79"/>
        <v>4890000</v>
      </c>
      <c r="IT17" s="2">
        <v>3</v>
      </c>
      <c r="IU17" s="25">
        <f t="shared" si="80"/>
        <v>462000</v>
      </c>
      <c r="IV17" s="33" t="str">
        <f t="shared" si="81"/>
        <v>11d 16h 33m</v>
      </c>
      <c r="IW17" s="46">
        <v>2</v>
      </c>
      <c r="IX17" s="25">
        <f t="shared" si="82"/>
        <v>1010000</v>
      </c>
      <c r="IY17" s="25">
        <v>23</v>
      </c>
      <c r="IZ17" s="25">
        <v>17</v>
      </c>
      <c r="JA17" s="25">
        <v>7</v>
      </c>
      <c r="JB17" s="7"/>
      <c r="JC17" s="8">
        <f t="shared" si="155"/>
        <v>10</v>
      </c>
      <c r="JD17" s="8">
        <v>1</v>
      </c>
      <c r="JE17" s="47">
        <v>1</v>
      </c>
      <c r="JF17" s="25">
        <f t="shared" si="83"/>
        <v>632</v>
      </c>
      <c r="JG17" s="25">
        <f t="shared" si="156"/>
        <v>4725</v>
      </c>
      <c r="JH17" s="47">
        <v>0.5</v>
      </c>
      <c r="JI17" s="25">
        <f t="shared" si="84"/>
        <v>150</v>
      </c>
      <c r="JJ17" s="47">
        <v>2.5</v>
      </c>
      <c r="JK17" s="25">
        <f t="shared" si="85"/>
        <v>4080000</v>
      </c>
      <c r="JL17" s="2">
        <v>2.5</v>
      </c>
      <c r="JM17" s="25">
        <f t="shared" si="86"/>
        <v>385000</v>
      </c>
      <c r="JN17" s="33" t="str">
        <f t="shared" si="87"/>
        <v>8d 18h 50m</v>
      </c>
      <c r="JO17" s="46">
        <v>1.5</v>
      </c>
      <c r="JP17" s="25">
        <f t="shared" si="88"/>
        <v>759000</v>
      </c>
      <c r="JQ17" s="7"/>
      <c r="JR17" s="8">
        <f t="shared" si="89"/>
        <v>1</v>
      </c>
      <c r="JS17" s="5">
        <v>0</v>
      </c>
      <c r="JT17" s="47">
        <v>1</v>
      </c>
      <c r="JU17" s="25">
        <f t="shared" si="90"/>
        <v>0</v>
      </c>
      <c r="JV17" s="25">
        <f t="shared" si="157"/>
        <v>0</v>
      </c>
      <c r="JW17" s="47">
        <v>1</v>
      </c>
      <c r="JX17" s="25">
        <f t="shared" si="91"/>
        <v>0</v>
      </c>
      <c r="JY17" s="47">
        <v>1.5</v>
      </c>
      <c r="JZ17" s="25">
        <f>IF(JS17,baseBetterNumbers(JY17*$DD17),IF(JR17-1,JZ16,0))</f>
        <v>0</v>
      </c>
      <c r="KA17" s="2">
        <v>1.5</v>
      </c>
      <c r="KB17" s="25">
        <f t="shared" si="92"/>
        <v>0</v>
      </c>
      <c r="KC17" s="33" t="str">
        <f t="shared" si="93"/>
        <v>0h 0m</v>
      </c>
      <c r="KD17" s="46">
        <v>1</v>
      </c>
      <c r="KE17" s="25">
        <f t="shared" si="94"/>
        <v>0</v>
      </c>
      <c r="KF17" s="7"/>
      <c r="KG17" s="8">
        <f t="shared" si="158"/>
        <v>15</v>
      </c>
      <c r="KH17" s="8">
        <v>1</v>
      </c>
      <c r="KI17" s="47">
        <v>1</v>
      </c>
      <c r="KJ17" s="25">
        <f t="shared" si="95"/>
        <v>632</v>
      </c>
      <c r="KK17" s="25">
        <f t="shared" si="159"/>
        <v>4862</v>
      </c>
      <c r="KL17" s="47">
        <v>1</v>
      </c>
      <c r="KM17" s="25">
        <f t="shared" si="96"/>
        <v>299</v>
      </c>
      <c r="KN17" s="47">
        <v>1.5</v>
      </c>
      <c r="KO17" s="25">
        <f t="shared" si="97"/>
        <v>2440000</v>
      </c>
      <c r="KP17" s="2">
        <v>1.5</v>
      </c>
      <c r="KQ17" s="25">
        <f t="shared" si="98"/>
        <v>231000</v>
      </c>
      <c r="KR17" s="33" t="str">
        <f t="shared" si="99"/>
        <v>5d 20h 33m</v>
      </c>
      <c r="KS17" s="46">
        <v>1</v>
      </c>
      <c r="KT17" s="25">
        <f t="shared" si="100"/>
        <v>506000</v>
      </c>
      <c r="KU17" s="7"/>
      <c r="KV17" s="8">
        <f t="shared" si="160"/>
        <v>8</v>
      </c>
      <c r="KW17" s="8">
        <v>1</v>
      </c>
      <c r="KX17" s="47">
        <v>1</v>
      </c>
      <c r="KY17" s="25">
        <f t="shared" si="101"/>
        <v>632</v>
      </c>
      <c r="KZ17" s="25">
        <f t="shared" si="161"/>
        <v>4509</v>
      </c>
      <c r="LA17" s="47">
        <v>1.5</v>
      </c>
      <c r="LB17" s="25">
        <f t="shared" si="102"/>
        <v>448</v>
      </c>
      <c r="LC17" s="47">
        <v>1.5</v>
      </c>
      <c r="LD17" s="25">
        <f t="shared" si="103"/>
        <v>2440000</v>
      </c>
      <c r="LE17" s="2">
        <v>1.5</v>
      </c>
      <c r="LF17" s="25">
        <f t="shared" si="162"/>
        <v>231000</v>
      </c>
      <c r="LG17" s="33" t="str">
        <f t="shared" si="104"/>
        <v>5d 20h 33m</v>
      </c>
      <c r="LH17" s="46">
        <v>1</v>
      </c>
      <c r="LI17" s="25">
        <f t="shared" si="105"/>
        <v>506000</v>
      </c>
      <c r="LJ17" s="7"/>
      <c r="LK17" s="8">
        <f t="shared" si="163"/>
        <v>2</v>
      </c>
      <c r="LL17" s="8">
        <v>1</v>
      </c>
      <c r="LM17" s="47">
        <v>1</v>
      </c>
      <c r="LN17" s="25">
        <f t="shared" si="106"/>
        <v>632</v>
      </c>
      <c r="LO17" s="25">
        <f t="shared" si="164"/>
        <v>1207</v>
      </c>
      <c r="LP17" s="47">
        <v>3</v>
      </c>
      <c r="LQ17" s="25">
        <f t="shared" si="107"/>
        <v>897</v>
      </c>
      <c r="LR17" s="47">
        <v>2.5</v>
      </c>
      <c r="LS17" s="25">
        <f t="shared" si="108"/>
        <v>4080000</v>
      </c>
      <c r="LT17" s="2">
        <v>4</v>
      </c>
      <c r="LU17" s="25">
        <f t="shared" si="165"/>
        <v>616000</v>
      </c>
      <c r="LV17" s="33" t="str">
        <f t="shared" si="109"/>
        <v>5d 20h 33m</v>
      </c>
      <c r="LW17" s="46">
        <v>1</v>
      </c>
      <c r="LX17" s="25">
        <f t="shared" si="110"/>
        <v>506000</v>
      </c>
      <c r="LY17" s="7"/>
      <c r="LZ17" s="8">
        <f t="shared" si="166"/>
        <v>7</v>
      </c>
      <c r="MA17" s="8">
        <v>1</v>
      </c>
      <c r="MB17" s="47">
        <v>1</v>
      </c>
      <c r="MC17" s="25">
        <f t="shared" si="111"/>
        <v>632</v>
      </c>
      <c r="MD17" s="25">
        <f t="shared" si="167"/>
        <v>4221</v>
      </c>
      <c r="ME17" s="47">
        <v>0.2</v>
      </c>
      <c r="MF17" s="25">
        <f t="shared" si="112"/>
        <v>60</v>
      </c>
      <c r="MG17" s="47">
        <v>2.5</v>
      </c>
      <c r="MH17" s="25">
        <f t="shared" si="113"/>
        <v>4080000</v>
      </c>
      <c r="MI17" s="2">
        <v>4</v>
      </c>
      <c r="MJ17" s="25">
        <f t="shared" si="168"/>
        <v>616000</v>
      </c>
      <c r="MK17" s="33" t="str">
        <f t="shared" si="114"/>
        <v>5d 20h 33m</v>
      </c>
      <c r="ML17" s="46">
        <v>1</v>
      </c>
      <c r="MM17" s="25">
        <f t="shared" si="115"/>
        <v>506000</v>
      </c>
      <c r="MN17" s="7"/>
      <c r="MO17" s="8">
        <f t="shared" si="169"/>
        <v>13</v>
      </c>
      <c r="MP17" s="8">
        <v>1</v>
      </c>
      <c r="MQ17" s="47">
        <v>1</v>
      </c>
      <c r="MR17" s="25">
        <f t="shared" si="116"/>
        <v>632</v>
      </c>
      <c r="MS17" s="25">
        <f t="shared" si="170"/>
        <v>4851</v>
      </c>
      <c r="MT17" s="47">
        <v>1.5</v>
      </c>
      <c r="MU17" s="25">
        <f t="shared" si="117"/>
        <v>448</v>
      </c>
      <c r="MV17" s="47">
        <v>2.5</v>
      </c>
      <c r="MW17" s="25">
        <f t="shared" si="118"/>
        <v>4080000</v>
      </c>
      <c r="MX17" s="2">
        <v>4</v>
      </c>
      <c r="MY17" s="25">
        <f t="shared" si="171"/>
        <v>616000</v>
      </c>
      <c r="MZ17" s="33" t="str">
        <f t="shared" si="119"/>
        <v>5d 20h 33m</v>
      </c>
      <c r="NA17" s="46">
        <v>1</v>
      </c>
      <c r="NB17" s="25">
        <f t="shared" si="120"/>
        <v>506000</v>
      </c>
      <c r="NC17" s="7"/>
      <c r="ND17" s="8">
        <f t="shared" si="172"/>
        <v>14</v>
      </c>
      <c r="NE17" s="8">
        <v>1</v>
      </c>
      <c r="NF17" s="47">
        <v>1</v>
      </c>
      <c r="NG17" s="25">
        <f t="shared" si="121"/>
        <v>632</v>
      </c>
      <c r="NH17" s="25">
        <f t="shared" si="173"/>
        <v>4860</v>
      </c>
      <c r="NI17" s="47">
        <v>2.5</v>
      </c>
      <c r="NJ17" s="25">
        <f>IF(NE17,baseBetterNumbers(NI17*$DD17),IF(ND17,NJ16,0))</f>
        <v>4080000</v>
      </c>
      <c r="NK17" s="2">
        <v>4</v>
      </c>
      <c r="NL17" s="25">
        <f>IF(NE17,baseBetterNumbers(NK17*$DG17),IF(ND17-1,NL16,0))</f>
        <v>616000</v>
      </c>
      <c r="NM17" s="33" t="str">
        <f t="shared" si="122"/>
        <v>5d 20h 33m</v>
      </c>
      <c r="NN17" s="46">
        <v>1</v>
      </c>
      <c r="NO17" s="25">
        <f>IF(NE17,baseBetterNumbers(NN17*$DK17),IF(ND17,NO16,0))</f>
        <v>506000</v>
      </c>
      <c r="NP17" s="47">
        <v>1.2</v>
      </c>
      <c r="NQ17" s="25">
        <f t="shared" si="188"/>
        <v>3411.30756096</v>
      </c>
      <c r="NR17" s="1">
        <f t="shared" si="123"/>
        <v>17056.537804799998</v>
      </c>
      <c r="NS17" s="1" t="e">
        <f>G17+AJ17*DT17+AL17*EK17+AN17*FE17+AP17*FV17+AR17*GP17+AT17*HG17+AV17*IA17+AX17*IQ17+AZ17*JI17+BD17*KM17+BF17*LB17+BH17*LQ17+BJ17*MF17+BL17*MU17+BR17*OA17+BT17*OP17+BV17*#REF!+BX17*#REF!+BZ17*PU17+#REF!*#REF!+#REF!*#REF!</f>
        <v>#REF!</v>
      </c>
      <c r="NU17" s="8">
        <f t="shared" si="174"/>
        <v>12</v>
      </c>
      <c r="NV17" s="8">
        <v>1</v>
      </c>
      <c r="NW17" s="47">
        <v>1</v>
      </c>
      <c r="NX17" s="25">
        <f t="shared" si="124"/>
        <v>632</v>
      </c>
      <c r="NY17" s="25">
        <f t="shared" si="175"/>
        <v>4833</v>
      </c>
      <c r="NZ17" s="47">
        <v>2</v>
      </c>
      <c r="OA17" s="25">
        <f t="shared" si="125"/>
        <v>598</v>
      </c>
      <c r="OB17" s="47">
        <v>3</v>
      </c>
      <c r="OC17" s="25">
        <f t="shared" si="126"/>
        <v>4890000</v>
      </c>
      <c r="OD17" s="2">
        <v>4</v>
      </c>
      <c r="OE17" s="25">
        <f t="shared" si="176"/>
        <v>616000</v>
      </c>
      <c r="OF17" s="33" t="str">
        <f t="shared" si="127"/>
        <v>11d 16h 33m</v>
      </c>
      <c r="OG17" s="46">
        <v>2</v>
      </c>
      <c r="OH17" s="25">
        <f t="shared" si="128"/>
        <v>1010000</v>
      </c>
      <c r="OI17" s="7"/>
      <c r="OJ17" s="8">
        <f t="shared" si="177"/>
        <v>12</v>
      </c>
      <c r="OK17" s="8">
        <v>1</v>
      </c>
      <c r="OL17" s="47">
        <v>1</v>
      </c>
      <c r="OM17" s="25">
        <f t="shared" si="129"/>
        <v>632</v>
      </c>
      <c r="ON17" s="25">
        <f t="shared" si="178"/>
        <v>4833</v>
      </c>
      <c r="OO17" s="47">
        <v>2</v>
      </c>
      <c r="OP17" s="25">
        <f t="shared" si="130"/>
        <v>598</v>
      </c>
      <c r="OQ17" s="47">
        <v>4</v>
      </c>
      <c r="OR17" s="25">
        <f t="shared" si="131"/>
        <v>6520000</v>
      </c>
      <c r="OS17" s="2">
        <v>4</v>
      </c>
      <c r="OT17" s="25">
        <f t="shared" si="179"/>
        <v>616000</v>
      </c>
      <c r="OU17" s="33" t="str">
        <f t="shared" si="132"/>
        <v>11d 16h 33m</v>
      </c>
      <c r="OV17" s="46">
        <v>2</v>
      </c>
      <c r="OW17" s="25">
        <f t="shared" si="133"/>
        <v>1010000</v>
      </c>
      <c r="OX17" s="82">
        <f t="shared" si="194"/>
        <v>0.1999999999999999</v>
      </c>
      <c r="OY17" s="82">
        <v>0.5</v>
      </c>
      <c r="OZ17" s="78" t="str">
        <f t="shared" si="191"/>
        <v>5h 0m</v>
      </c>
      <c r="PA17" s="25">
        <v>18000</v>
      </c>
      <c r="PB17" s="47">
        <v>1.5</v>
      </c>
      <c r="PC17" s="25">
        <f>baseBetterNumbers(DD17*PB17)</f>
        <v>2440000</v>
      </c>
      <c r="PD17" s="82">
        <f t="shared" si="195"/>
        <v>1.0000000000000004</v>
      </c>
      <c r="PE17" s="82">
        <f t="shared" si="204"/>
        <v>0.24999999999999997</v>
      </c>
      <c r="PF17" s="25">
        <v>0</v>
      </c>
      <c r="PG17" s="78" t="str">
        <f t="shared" si="192"/>
        <v>20h 0m</v>
      </c>
      <c r="PH17" s="25">
        <f t="shared" si="193"/>
        <v>72000</v>
      </c>
      <c r="PI17" s="47">
        <v>10</v>
      </c>
      <c r="PJ17" s="25">
        <f>baseBetterNumbers(DD17*PI17)</f>
        <v>16300000</v>
      </c>
      <c r="PK17" s="82">
        <v>1</v>
      </c>
      <c r="PL17" s="82">
        <f t="shared" si="196"/>
        <v>0.80000000000000016</v>
      </c>
      <c r="PM17" s="82">
        <f t="shared" si="201"/>
        <v>0.27499999999999997</v>
      </c>
      <c r="PN17" s="25"/>
      <c r="PO17" s="8">
        <f t="shared" si="213"/>
        <v>7</v>
      </c>
      <c r="PP17" s="5">
        <v>1</v>
      </c>
      <c r="PQ17" s="47">
        <v>1</v>
      </c>
      <c r="PR17" s="25">
        <f t="shared" si="214"/>
        <v>632</v>
      </c>
      <c r="PS17" s="25">
        <f t="shared" si="215"/>
        <v>4221</v>
      </c>
      <c r="PT17" s="47">
        <f t="shared" si="222"/>
        <v>2</v>
      </c>
      <c r="PU17" s="25">
        <f t="shared" si="216"/>
        <v>598</v>
      </c>
      <c r="PV17" s="47">
        <v>2</v>
      </c>
      <c r="PW17" s="25">
        <f t="shared" si="217"/>
        <v>3260000</v>
      </c>
      <c r="PX17" s="2">
        <f t="shared" si="223"/>
        <v>6</v>
      </c>
      <c r="PY17" s="25">
        <f t="shared" si="218"/>
        <v>924000</v>
      </c>
      <c r="PZ17" s="33" t="str">
        <f t="shared" si="219"/>
        <v>8d 18h 50m</v>
      </c>
      <c r="QA17" s="46">
        <f t="shared" si="224"/>
        <v>1.5</v>
      </c>
      <c r="QB17" s="25">
        <f t="shared" si="220"/>
        <v>759000</v>
      </c>
    </row>
    <row r="18" spans="1:444" ht="15" customHeight="1">
      <c r="P18" s="64"/>
      <c r="Q18" s="64"/>
      <c r="R18" s="64"/>
      <c r="AT18" s="3"/>
      <c r="AU18" s="3"/>
      <c r="AV18" s="3"/>
      <c r="AW18" s="3"/>
      <c r="AX18" s="3"/>
      <c r="AY18" s="3"/>
      <c r="AZ18" s="3"/>
      <c r="BA18" s="3"/>
      <c r="BB18" s="3"/>
      <c r="BC18" s="3"/>
      <c r="EY18" s="8"/>
      <c r="EZ18" s="8"/>
      <c r="FA18" s="8"/>
      <c r="FB18" s="28"/>
      <c r="FC18" s="28"/>
      <c r="FD18" s="28"/>
      <c r="FE18" s="28"/>
      <c r="FF18" s="28"/>
      <c r="FG18" s="3"/>
      <c r="FH18" s="21"/>
      <c r="FI18" s="3"/>
      <c r="FJ18" s="3"/>
      <c r="FK18" s="3"/>
      <c r="FL18" s="3"/>
      <c r="FM18" s="3"/>
      <c r="FN18" s="3"/>
      <c r="FO18" s="3"/>
      <c r="FP18" s="8"/>
      <c r="FQ18" s="8"/>
      <c r="FR18" s="8"/>
      <c r="FS18" s="28"/>
      <c r="FT18" s="28"/>
      <c r="FU18" s="28"/>
      <c r="FV18" s="28"/>
      <c r="FW18" s="28"/>
      <c r="FX18" s="3"/>
      <c r="FY18" s="21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8"/>
      <c r="GK18" s="8"/>
      <c r="GL18" s="8"/>
      <c r="GM18" s="28"/>
      <c r="GN18" s="28"/>
      <c r="GO18" s="28"/>
      <c r="GP18" s="28"/>
      <c r="GQ18" s="28"/>
      <c r="GR18" s="3"/>
      <c r="GS18" s="21"/>
      <c r="GT18" s="3"/>
      <c r="GU18" s="3"/>
      <c r="GV18" s="3"/>
      <c r="GW18" s="3"/>
      <c r="GX18" s="3"/>
      <c r="GY18" s="3"/>
      <c r="GZ18" s="3"/>
      <c r="HA18" s="8"/>
      <c r="HB18" s="8"/>
      <c r="HC18" s="8"/>
      <c r="HD18" s="28"/>
      <c r="HE18" s="28"/>
      <c r="HF18" s="28"/>
      <c r="HG18" s="28"/>
      <c r="HH18" s="28"/>
      <c r="HI18" s="3"/>
      <c r="HJ18" s="21"/>
      <c r="HK18" s="3"/>
      <c r="HL18" s="3"/>
      <c r="HM18" s="3"/>
      <c r="HN18" s="3"/>
      <c r="HO18" s="3"/>
      <c r="HP18" s="3"/>
      <c r="HQ18" s="3"/>
      <c r="HR18" s="3"/>
      <c r="HS18" s="3"/>
      <c r="HT18" s="3"/>
      <c r="OR18" s="3"/>
      <c r="OS18" s="3"/>
    </row>
    <row r="19" spans="1:444" ht="14" customHeight="1">
      <c r="O19" s="103" t="s">
        <v>115</v>
      </c>
      <c r="P19" s="103"/>
      <c r="Q19" s="103"/>
      <c r="R19" s="64"/>
      <c r="AT19" s="3"/>
      <c r="AU19" s="3"/>
      <c r="AV19" s="3"/>
      <c r="AW19" s="3"/>
      <c r="AX19" s="3"/>
      <c r="AY19" s="3"/>
      <c r="AZ19" s="3"/>
      <c r="BA19" s="3"/>
      <c r="BB19" s="3"/>
      <c r="BC19" s="3"/>
      <c r="EB19" s="105" t="s">
        <v>117</v>
      </c>
      <c r="EC19" s="105"/>
      <c r="ES19" s="103" t="s">
        <v>118</v>
      </c>
      <c r="ET19" s="103"/>
      <c r="EU19" s="103" t="s">
        <v>119</v>
      </c>
      <c r="EV19" s="103"/>
      <c r="EY19" s="8"/>
      <c r="EZ19" s="8"/>
      <c r="FA19" s="8"/>
      <c r="FB19" s="28"/>
      <c r="FC19" s="28"/>
      <c r="FD19" s="28"/>
      <c r="FE19" s="28"/>
      <c r="FF19" s="28"/>
      <c r="FG19" s="3"/>
      <c r="FH19" s="21"/>
      <c r="FI19" s="3"/>
      <c r="FJ19" s="3"/>
      <c r="FK19" s="3"/>
      <c r="FL19" s="3"/>
      <c r="FM19" s="3"/>
      <c r="FN19" s="3"/>
      <c r="FO19" s="3"/>
      <c r="FP19" s="8"/>
      <c r="FQ19" s="8"/>
      <c r="FR19" s="8"/>
      <c r="FS19" s="28"/>
      <c r="FT19" s="28"/>
      <c r="FU19" s="28"/>
      <c r="FV19" s="28"/>
      <c r="FW19" s="28"/>
      <c r="FX19" s="3"/>
      <c r="FY19" s="21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8"/>
      <c r="GK19" s="8"/>
      <c r="GL19" s="8"/>
      <c r="GM19" s="28"/>
      <c r="GN19" s="28"/>
      <c r="GO19" s="28"/>
      <c r="GP19" s="28"/>
      <c r="GQ19" s="28"/>
      <c r="GR19" s="3"/>
      <c r="GS19" s="21"/>
      <c r="GT19" s="3"/>
      <c r="GU19" s="3"/>
      <c r="GV19" s="3"/>
      <c r="GW19" s="3"/>
      <c r="GX19" s="3"/>
      <c r="GY19" s="3"/>
      <c r="GZ19" s="3"/>
      <c r="HA19" s="8"/>
      <c r="HB19" s="8"/>
      <c r="HC19" s="8"/>
      <c r="HD19" s="28"/>
      <c r="HE19" s="28"/>
      <c r="HF19" s="28"/>
      <c r="HG19" s="28"/>
      <c r="HH19" s="28"/>
      <c r="HI19" s="3"/>
      <c r="HJ19" s="21"/>
      <c r="HK19" s="3"/>
      <c r="HL19" s="3"/>
      <c r="HM19" s="3"/>
      <c r="HN19" s="3"/>
      <c r="HO19" s="101" t="s">
        <v>120</v>
      </c>
      <c r="HP19" s="101"/>
      <c r="HQ19" s="101" t="s">
        <v>121</v>
      </c>
      <c r="HR19" s="101"/>
      <c r="HS19" s="3"/>
      <c r="HT19" s="3"/>
    </row>
    <row r="20" spans="1:444" ht="14" customHeight="1">
      <c r="O20" s="103"/>
      <c r="P20" s="103"/>
      <c r="Q20" s="103"/>
      <c r="R20" s="64"/>
      <c r="EB20" s="105"/>
      <c r="EC20" s="105"/>
      <c r="ES20" s="103"/>
      <c r="ET20" s="103"/>
      <c r="EU20" s="103"/>
      <c r="EV20" s="103"/>
      <c r="EY20" s="8"/>
      <c r="EZ20" s="8"/>
      <c r="FA20" s="8"/>
      <c r="FB20" s="28"/>
      <c r="FC20" s="28"/>
      <c r="FD20" s="28"/>
      <c r="FE20" s="28"/>
      <c r="FF20" s="28"/>
      <c r="FG20" s="3"/>
      <c r="FH20" s="21"/>
      <c r="FI20" s="3"/>
      <c r="FJ20" s="3"/>
      <c r="FK20" s="3"/>
      <c r="FL20" s="3"/>
      <c r="FM20" s="3"/>
      <c r="FN20" s="3"/>
      <c r="FO20" s="3"/>
      <c r="FP20" s="8"/>
      <c r="FQ20" s="8"/>
      <c r="FR20" s="8"/>
      <c r="FS20" s="28"/>
      <c r="FT20" s="28"/>
      <c r="FU20" s="28"/>
      <c r="FV20" s="28"/>
      <c r="FW20" s="28"/>
      <c r="FX20" s="3"/>
      <c r="FY20" s="21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8"/>
      <c r="GK20" s="8"/>
      <c r="GL20" s="8"/>
      <c r="GM20" s="28"/>
      <c r="GN20" s="28"/>
      <c r="GO20" s="28"/>
      <c r="GP20" s="28"/>
      <c r="GQ20" s="28"/>
      <c r="GR20" s="3"/>
      <c r="GS20" s="21"/>
      <c r="GT20" s="3"/>
      <c r="GU20" s="3"/>
      <c r="GV20" s="3"/>
      <c r="GW20" s="3"/>
      <c r="GX20" s="3"/>
      <c r="GY20" s="3"/>
      <c r="GZ20" s="3"/>
      <c r="HA20" s="8"/>
      <c r="HB20" s="8"/>
      <c r="HC20" s="8"/>
      <c r="HD20" s="28"/>
      <c r="HE20" s="28"/>
      <c r="HF20" s="28"/>
      <c r="HG20" s="28"/>
      <c r="HH20" s="28"/>
      <c r="HI20" s="3"/>
      <c r="HJ20" s="21"/>
      <c r="HK20" s="3"/>
      <c r="HL20" s="3"/>
      <c r="HM20" s="3"/>
      <c r="HN20" s="3"/>
      <c r="HO20" s="101"/>
      <c r="HP20" s="101"/>
      <c r="HQ20" s="101"/>
      <c r="HR20" s="101"/>
      <c r="HS20" s="3"/>
      <c r="HT20" s="3"/>
    </row>
    <row r="21" spans="1:444" ht="14" customHeight="1">
      <c r="O21" s="104"/>
      <c r="P21" s="104"/>
      <c r="Q21" s="104"/>
      <c r="DN21" s="8"/>
      <c r="DO21" s="8"/>
      <c r="DP21" s="8"/>
      <c r="DQ21" s="28"/>
      <c r="DR21" s="28"/>
      <c r="DS21" s="28"/>
      <c r="DT21" s="20"/>
      <c r="DU21" s="45"/>
      <c r="DV21" s="3"/>
      <c r="DW21" s="21"/>
      <c r="DX21" s="3"/>
      <c r="DY21" s="21"/>
      <c r="DZ21" s="7"/>
      <c r="EA21" s="21"/>
      <c r="EB21" s="106"/>
      <c r="EC21" s="106"/>
      <c r="ED21" s="3"/>
      <c r="EE21" s="8"/>
      <c r="EF21" s="8"/>
      <c r="EG21" s="42"/>
      <c r="EH21" s="28"/>
      <c r="EI21" s="28"/>
      <c r="EJ21" s="45"/>
      <c r="EK21" s="28"/>
      <c r="EL21" s="45"/>
      <c r="EM21" s="3"/>
      <c r="EN21" s="7"/>
      <c r="EO21" s="3"/>
      <c r="EP21" s="3"/>
      <c r="EQ21" s="7"/>
      <c r="ER21" s="3"/>
      <c r="ES21" s="104"/>
      <c r="ET21" s="104"/>
      <c r="EU21" s="104"/>
      <c r="EV21" s="104"/>
      <c r="EW21" s="62"/>
      <c r="EX21" s="3"/>
      <c r="EY21" s="8"/>
      <c r="EZ21" s="8"/>
      <c r="FA21" s="8"/>
      <c r="FB21" s="28"/>
      <c r="FC21" s="28"/>
      <c r="FD21" s="28"/>
      <c r="FE21" s="28"/>
      <c r="FF21" s="28"/>
      <c r="FG21" s="3"/>
      <c r="FH21" s="21"/>
      <c r="FI21" s="3"/>
      <c r="FJ21" s="3"/>
      <c r="FK21" s="3"/>
      <c r="FL21" s="3"/>
      <c r="FM21" s="3"/>
      <c r="FN21" s="3"/>
      <c r="FO21" s="3"/>
      <c r="FP21" s="8"/>
      <c r="FQ21" s="8"/>
      <c r="FR21" s="8"/>
      <c r="FS21" s="28"/>
      <c r="FT21" s="28"/>
      <c r="FU21" s="28"/>
      <c r="FV21" s="28"/>
      <c r="FW21" s="28"/>
      <c r="FX21" s="3"/>
      <c r="FY21" s="21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8"/>
      <c r="GK21" s="8"/>
      <c r="GL21" s="8"/>
      <c r="GM21" s="28"/>
      <c r="GN21" s="28"/>
      <c r="GO21" s="28"/>
      <c r="GP21" s="28"/>
      <c r="GQ21" s="28"/>
      <c r="GR21" s="3"/>
      <c r="GS21" s="21"/>
      <c r="GT21" s="3"/>
      <c r="GU21" s="3"/>
      <c r="GV21" s="3"/>
      <c r="GW21" s="3"/>
      <c r="GX21" s="3"/>
      <c r="GY21" s="3"/>
      <c r="GZ21" s="3"/>
      <c r="HA21" s="8"/>
      <c r="HB21" s="8"/>
      <c r="HC21" s="8"/>
      <c r="HD21" s="28"/>
      <c r="HE21" s="28"/>
      <c r="HF21" s="28"/>
      <c r="HG21" s="28"/>
      <c r="HH21" s="28"/>
      <c r="HI21" s="3"/>
      <c r="HJ21" s="21"/>
      <c r="HK21" s="3"/>
      <c r="HL21" s="3"/>
      <c r="HM21" s="3"/>
      <c r="HN21" s="3"/>
      <c r="HO21" s="102"/>
      <c r="HP21" s="102"/>
      <c r="HQ21" s="102"/>
      <c r="HR21" s="102"/>
      <c r="HS21" s="3"/>
      <c r="HT21" s="3"/>
    </row>
    <row r="22" spans="1:444" s="4" customFormat="1">
      <c r="A22" s="9"/>
      <c r="B22" s="16"/>
      <c r="C22" s="29"/>
      <c r="D22" s="29"/>
      <c r="E22" s="29"/>
      <c r="F22" s="29"/>
      <c r="G22" s="29"/>
      <c r="L22" s="34"/>
      <c r="M22" s="34"/>
      <c r="N22" s="14"/>
      <c r="O22" s="14"/>
      <c r="CF22" s="15"/>
      <c r="CG22" s="15"/>
      <c r="CL22" s="15"/>
      <c r="CM22" s="15"/>
      <c r="CN22" s="15"/>
      <c r="DN22" s="16"/>
      <c r="DO22" s="16"/>
      <c r="DP22" s="16"/>
      <c r="DQ22" s="29"/>
      <c r="DR22" s="29"/>
      <c r="DS22" s="29"/>
      <c r="DT22" s="29"/>
      <c r="DU22" s="51"/>
      <c r="DV22" s="17"/>
      <c r="DW22" s="22"/>
      <c r="DX22" s="17"/>
      <c r="DY22" s="22"/>
      <c r="DZ22" s="44"/>
      <c r="EA22" s="22"/>
      <c r="EB22" s="49"/>
      <c r="EC22" s="17"/>
      <c r="ED22" s="17"/>
      <c r="EE22" s="16"/>
      <c r="EF22" s="16"/>
      <c r="EG22" s="54"/>
      <c r="EH22" s="29"/>
      <c r="EI22" s="29"/>
      <c r="EJ22" s="51"/>
      <c r="EK22" s="29"/>
      <c r="EL22" s="51"/>
      <c r="EM22" s="17"/>
      <c r="EN22" s="44"/>
      <c r="EO22" s="17"/>
      <c r="EP22" s="17"/>
      <c r="EQ22" s="44"/>
      <c r="ER22" s="17"/>
      <c r="ES22" s="44"/>
      <c r="ET22" s="17"/>
      <c r="EU22" s="44"/>
      <c r="EV22" s="17"/>
      <c r="EW22" s="63"/>
      <c r="EX22" s="17"/>
      <c r="EY22" s="16"/>
      <c r="EZ22" s="16"/>
      <c r="FA22" s="16"/>
      <c r="FB22" s="29"/>
      <c r="FC22" s="29"/>
      <c r="FD22" s="29"/>
      <c r="FE22" s="29"/>
      <c r="FF22" s="29"/>
      <c r="FG22" s="17"/>
      <c r="FH22" s="22"/>
      <c r="FI22" s="17"/>
      <c r="FJ22" s="17"/>
      <c r="FK22" s="17"/>
      <c r="FL22" s="17"/>
      <c r="FM22" s="17"/>
      <c r="FN22" s="17"/>
      <c r="FO22" s="17"/>
      <c r="FP22" s="16"/>
      <c r="FQ22" s="16"/>
      <c r="FR22" s="16"/>
      <c r="FS22" s="29"/>
      <c r="FT22" s="29"/>
      <c r="FU22" s="29"/>
      <c r="FV22" s="29"/>
      <c r="FW22" s="29"/>
      <c r="FX22" s="17"/>
      <c r="FY22" s="22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6"/>
      <c r="GK22" s="16"/>
      <c r="GL22" s="16"/>
      <c r="GM22" s="29"/>
      <c r="GN22" s="29"/>
      <c r="GO22" s="29"/>
      <c r="GP22" s="29"/>
      <c r="GQ22" s="29"/>
      <c r="GR22" s="17"/>
      <c r="GS22" s="22"/>
      <c r="GT22" s="17"/>
      <c r="GU22" s="17"/>
      <c r="GV22" s="17"/>
      <c r="GW22" s="17"/>
      <c r="GX22" s="17"/>
      <c r="GY22" s="17"/>
      <c r="GZ22" s="17"/>
      <c r="HA22" s="16"/>
      <c r="HB22" s="16"/>
      <c r="HC22" s="16"/>
      <c r="HD22" s="29"/>
      <c r="HE22" s="29"/>
      <c r="HF22" s="29"/>
      <c r="HG22" s="29"/>
      <c r="HH22" s="29"/>
      <c r="HI22" s="17"/>
      <c r="HJ22" s="22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9"/>
      <c r="HV22" s="9"/>
      <c r="HW22" s="9"/>
      <c r="HX22" s="30"/>
      <c r="HY22" s="30"/>
      <c r="HZ22" s="30"/>
      <c r="IA22" s="30"/>
      <c r="IB22" s="30"/>
      <c r="IK22" s="9"/>
      <c r="IL22" s="9"/>
      <c r="IM22" s="9"/>
      <c r="IN22" s="30"/>
      <c r="IO22" s="30"/>
      <c r="IP22" s="30"/>
      <c r="IQ22" s="30"/>
      <c r="IR22" s="30"/>
      <c r="JC22" s="9"/>
      <c r="JD22" s="9"/>
      <c r="JE22" s="9"/>
      <c r="JF22" s="30"/>
      <c r="JG22" s="30"/>
      <c r="JH22" s="30"/>
      <c r="JI22" s="30"/>
      <c r="JJ22" s="30"/>
      <c r="KG22" s="9"/>
      <c r="KH22" s="9"/>
      <c r="KI22" s="9"/>
      <c r="KJ22" s="30"/>
      <c r="KK22" s="30"/>
      <c r="KL22" s="30"/>
      <c r="KM22" s="30"/>
      <c r="KN22" s="30"/>
      <c r="KV22" s="9"/>
      <c r="KW22" s="9"/>
      <c r="KX22" s="9"/>
      <c r="KY22" s="30"/>
      <c r="KZ22" s="30"/>
      <c r="LA22" s="30"/>
      <c r="LB22" s="30"/>
      <c r="LC22" s="30"/>
      <c r="LK22" s="9"/>
      <c r="LL22" s="9"/>
      <c r="LM22" s="9"/>
      <c r="LZ22" s="9"/>
      <c r="MA22" s="9"/>
      <c r="MB22" s="9"/>
      <c r="MC22" s="30"/>
      <c r="MD22" s="30"/>
      <c r="ME22" s="30"/>
      <c r="MF22" s="30"/>
      <c r="MG22" s="30"/>
      <c r="MO22" s="9"/>
      <c r="MP22" s="9"/>
      <c r="MQ22" s="9"/>
      <c r="MR22" s="30"/>
      <c r="MS22" s="30"/>
      <c r="MT22" s="30"/>
      <c r="MU22" s="30"/>
      <c r="MV22" s="30"/>
      <c r="ND22" s="9"/>
      <c r="NE22" s="9"/>
      <c r="NF22" s="9"/>
      <c r="NG22" s="30"/>
      <c r="NH22" s="30"/>
      <c r="NI22" s="30"/>
      <c r="NP22" s="14"/>
      <c r="OX22" s="83"/>
      <c r="OY22" s="83"/>
      <c r="OZ22" s="79"/>
      <c r="PB22" s="14"/>
      <c r="PD22" s="83"/>
      <c r="PE22" s="83"/>
      <c r="PM22" s="83"/>
    </row>
    <row r="23" spans="1:444">
      <c r="DN23" s="8"/>
      <c r="DO23" s="8"/>
      <c r="DP23" s="8"/>
      <c r="DQ23" s="28"/>
      <c r="DR23" s="28"/>
      <c r="DS23" s="28"/>
      <c r="DT23" s="28"/>
      <c r="DU23" s="45"/>
      <c r="DV23" s="3"/>
      <c r="DW23" s="21"/>
      <c r="DX23" s="3"/>
      <c r="DY23" s="21"/>
      <c r="DZ23" s="7"/>
      <c r="EA23" s="21"/>
      <c r="EB23" s="48"/>
      <c r="EC23" s="3"/>
      <c r="ED23" s="3"/>
      <c r="EE23" s="8"/>
      <c r="EF23" s="8"/>
      <c r="EG23" s="42"/>
      <c r="EH23" s="28"/>
      <c r="EI23" s="28"/>
      <c r="EJ23" s="45"/>
      <c r="EK23" s="28"/>
      <c r="EL23" s="45"/>
      <c r="EM23" s="3"/>
      <c r="EN23" s="7"/>
      <c r="EO23" s="3"/>
      <c r="EP23" s="3"/>
      <c r="EQ23" s="7"/>
      <c r="ER23" s="3"/>
      <c r="ES23" s="7"/>
      <c r="ET23" s="3"/>
      <c r="EU23" s="7"/>
      <c r="EV23" s="3"/>
      <c r="EW23" s="62"/>
      <c r="EX23" s="3"/>
      <c r="EY23" s="8"/>
      <c r="EZ23" s="8"/>
      <c r="FA23" s="8"/>
      <c r="FB23" s="28"/>
      <c r="FC23" s="28"/>
      <c r="FD23" s="28"/>
      <c r="FE23" s="28"/>
      <c r="FF23" s="28"/>
      <c r="FG23" s="3"/>
      <c r="FH23" s="21"/>
      <c r="FI23" s="3"/>
      <c r="FJ23" s="3"/>
      <c r="FK23" s="3"/>
      <c r="FL23" s="3"/>
      <c r="FM23" s="3"/>
      <c r="FN23" s="3"/>
      <c r="FO23" s="3"/>
      <c r="FP23" s="8"/>
      <c r="FQ23" s="8"/>
      <c r="FR23" s="8"/>
      <c r="FS23" s="28"/>
      <c r="FT23" s="28"/>
      <c r="FU23" s="28"/>
      <c r="FV23" s="28"/>
      <c r="FW23" s="28"/>
      <c r="FX23" s="3"/>
      <c r="FY23" s="21"/>
      <c r="FZ23" s="3"/>
      <c r="GA23" s="3"/>
      <c r="GB23" s="3"/>
      <c r="GC23" s="3"/>
      <c r="GD23" s="3"/>
      <c r="GE23" s="3">
        <v>210</v>
      </c>
      <c r="GF23" s="3"/>
      <c r="GG23" s="3">
        <v>1450</v>
      </c>
      <c r="GH23" s="3">
        <f>GG23/GE23</f>
        <v>6.9047619047619051</v>
      </c>
      <c r="GI23" s="3"/>
      <c r="GJ23" s="8"/>
      <c r="GK23" s="8"/>
      <c r="GL23" s="8"/>
      <c r="GM23" s="28"/>
      <c r="GN23" s="28"/>
      <c r="GO23" s="28"/>
      <c r="GP23" s="28"/>
      <c r="GQ23" s="28"/>
      <c r="GR23" s="3"/>
      <c r="GS23" s="21"/>
      <c r="GT23" s="3"/>
      <c r="GU23" s="3"/>
      <c r="GV23" s="3"/>
      <c r="GW23" s="3"/>
      <c r="GX23" s="3"/>
      <c r="GY23" s="3"/>
      <c r="GZ23" s="3"/>
      <c r="HA23" s="8"/>
      <c r="HB23" s="8"/>
      <c r="HC23" s="8"/>
      <c r="HD23" s="28"/>
      <c r="HE23" s="28"/>
      <c r="HF23" s="28"/>
      <c r="HG23" s="28"/>
      <c r="HH23" s="28"/>
      <c r="HI23" s="3"/>
      <c r="HJ23" s="21"/>
      <c r="HK23" s="3"/>
      <c r="HL23" s="3"/>
      <c r="HM23" s="3"/>
      <c r="HN23" s="3"/>
      <c r="HO23" s="3"/>
      <c r="HP23" s="3"/>
      <c r="HQ23" s="3"/>
      <c r="HR23" s="3"/>
      <c r="HS23" s="3"/>
      <c r="HT23" s="3"/>
    </row>
    <row r="24" spans="1:444">
      <c r="DN24" s="8"/>
      <c r="DO24" s="8"/>
      <c r="DP24" s="8"/>
      <c r="DQ24" s="28"/>
      <c r="DR24" s="28"/>
      <c r="DS24" s="28"/>
      <c r="DT24" s="28"/>
      <c r="DU24" s="45"/>
      <c r="DV24" s="3"/>
      <c r="DW24" s="21"/>
      <c r="DX24" s="3"/>
      <c r="DY24" s="21"/>
      <c r="DZ24" s="7"/>
      <c r="EA24" s="21"/>
      <c r="EB24" s="48"/>
      <c r="EC24" s="3"/>
      <c r="ED24" s="3"/>
      <c r="EE24" s="8"/>
      <c r="EF24" s="8"/>
      <c r="EG24" s="42"/>
      <c r="EH24" s="28"/>
      <c r="EI24" s="28"/>
      <c r="EJ24" s="45"/>
      <c r="EK24" s="28"/>
      <c r="EL24" s="45"/>
      <c r="EM24" s="3"/>
      <c r="EN24" s="7"/>
      <c r="EO24" s="3"/>
      <c r="EP24" s="3"/>
      <c r="EQ24" s="7"/>
      <c r="ER24" s="3"/>
      <c r="ES24" s="7"/>
      <c r="ET24" s="3"/>
      <c r="EU24" s="7"/>
      <c r="EV24" s="3"/>
      <c r="EW24" s="62"/>
      <c r="EX24" s="3"/>
      <c r="EY24" s="8"/>
      <c r="EZ24" s="8"/>
      <c r="FA24" s="8"/>
      <c r="FB24" s="28"/>
      <c r="FC24" s="28"/>
      <c r="FD24" s="28"/>
      <c r="FE24" s="28"/>
      <c r="FF24" s="28"/>
      <c r="FG24" s="3"/>
      <c r="FH24" s="21"/>
      <c r="FI24" s="3"/>
      <c r="FJ24" s="3"/>
      <c r="FK24" s="3"/>
      <c r="FL24" s="3"/>
      <c r="FM24" s="3"/>
      <c r="FN24" s="3"/>
      <c r="FO24" s="3"/>
      <c r="FP24" s="8"/>
      <c r="FQ24" s="8"/>
      <c r="FR24" s="8"/>
      <c r="FS24" s="28"/>
      <c r="FT24" s="28"/>
      <c r="FU24" s="28"/>
      <c r="FV24" s="28"/>
      <c r="FW24" s="28"/>
      <c r="FX24" s="3"/>
      <c r="FY24" s="21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8"/>
      <c r="GK24" s="8"/>
      <c r="GL24" s="8"/>
      <c r="GM24" s="28"/>
      <c r="GN24" s="28"/>
      <c r="GO24" s="28"/>
      <c r="GP24" s="28"/>
      <c r="GQ24" s="28"/>
      <c r="GR24" s="3"/>
      <c r="GS24" s="21"/>
      <c r="GT24" s="3"/>
      <c r="GU24" s="3"/>
      <c r="GV24" s="3"/>
      <c r="GW24" s="3"/>
      <c r="GX24" s="3"/>
      <c r="GY24" s="3"/>
      <c r="GZ24" s="3"/>
      <c r="HA24" s="8"/>
      <c r="HB24" s="8"/>
      <c r="HC24" s="8"/>
      <c r="HD24" s="28"/>
      <c r="HE24" s="28"/>
      <c r="HF24" s="28"/>
      <c r="HG24" s="28"/>
      <c r="HH24" s="28"/>
      <c r="HI24" s="3"/>
      <c r="HJ24" s="21"/>
      <c r="HK24" s="3"/>
      <c r="HL24" s="3"/>
      <c r="HM24" s="3"/>
      <c r="HN24" s="3"/>
      <c r="HO24" s="3"/>
      <c r="HP24" s="3"/>
      <c r="HQ24" s="3"/>
      <c r="HR24" s="3"/>
      <c r="HS24" s="3"/>
      <c r="HT24" s="3"/>
    </row>
    <row r="25" spans="1:444">
      <c r="DN25" s="8"/>
      <c r="DO25" s="8"/>
      <c r="DP25" s="8"/>
      <c r="DQ25" s="28"/>
      <c r="DR25" s="28"/>
      <c r="DS25" s="28"/>
      <c r="DT25" s="28"/>
      <c r="DU25" s="45"/>
      <c r="DV25" s="3"/>
      <c r="DW25" s="21"/>
      <c r="DX25" s="3"/>
      <c r="DY25" s="21"/>
      <c r="DZ25" s="3"/>
      <c r="EA25" s="21"/>
      <c r="EB25" s="48"/>
      <c r="EC25" s="3"/>
      <c r="ED25" s="3"/>
      <c r="EE25" s="8"/>
      <c r="EF25" s="8"/>
      <c r="EG25" s="42"/>
      <c r="EH25" s="28"/>
      <c r="EI25" s="28"/>
      <c r="EJ25" s="45"/>
      <c r="EK25" s="28"/>
      <c r="EL25" s="45"/>
      <c r="EM25" s="3"/>
      <c r="EN25" s="7"/>
      <c r="EO25" s="3"/>
      <c r="EP25" s="3"/>
      <c r="EQ25" s="7"/>
      <c r="ER25" s="3"/>
      <c r="ES25" s="7"/>
      <c r="ET25" s="3"/>
      <c r="EU25" s="7"/>
      <c r="EV25" s="3"/>
      <c r="EW25" s="62"/>
      <c r="EX25" s="3"/>
      <c r="EY25" s="8"/>
      <c r="EZ25" s="8"/>
      <c r="FA25" s="8"/>
      <c r="FB25" s="28"/>
      <c r="FC25" s="28"/>
      <c r="FD25" s="28"/>
      <c r="FE25" s="28"/>
      <c r="FF25" s="28"/>
      <c r="FG25" s="3"/>
      <c r="FH25" s="21"/>
      <c r="FI25" s="3"/>
      <c r="FJ25" s="3"/>
      <c r="FK25" s="3"/>
      <c r="FL25" s="3"/>
      <c r="FM25" s="3"/>
      <c r="FN25" s="3"/>
      <c r="FO25" s="3"/>
      <c r="FP25" s="8"/>
      <c r="FQ25" s="8"/>
      <c r="FR25" s="8"/>
      <c r="FS25" s="28"/>
      <c r="FT25" s="28"/>
      <c r="FU25" s="28"/>
      <c r="FV25" s="28"/>
      <c r="FW25" s="28"/>
      <c r="FX25" s="3"/>
      <c r="FY25" s="21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8"/>
      <c r="GK25" s="8"/>
      <c r="GL25" s="8"/>
      <c r="GM25" s="28"/>
      <c r="GN25" s="28"/>
      <c r="GO25" s="28"/>
      <c r="GP25" s="28"/>
      <c r="GQ25" s="28"/>
      <c r="GR25" s="3"/>
      <c r="GS25" s="21"/>
      <c r="GT25" s="3"/>
      <c r="GU25" s="3"/>
      <c r="GV25" s="3"/>
      <c r="GW25" s="3"/>
      <c r="GX25" s="3"/>
      <c r="GY25" s="3"/>
      <c r="GZ25" s="3"/>
      <c r="HA25" s="8"/>
      <c r="HB25" s="8"/>
      <c r="HC25" s="8"/>
      <c r="HD25" s="28"/>
      <c r="HE25" s="28"/>
      <c r="HF25" s="28"/>
      <c r="HG25" s="28"/>
      <c r="HH25" s="28"/>
      <c r="HI25" s="3"/>
      <c r="HJ25" s="21"/>
      <c r="HK25" s="3"/>
      <c r="HL25" s="3"/>
      <c r="HM25" s="3"/>
      <c r="HN25" s="3"/>
      <c r="HO25" s="3"/>
      <c r="HP25" s="3"/>
      <c r="HQ25" s="3"/>
      <c r="HR25" s="3"/>
      <c r="HS25" s="3"/>
      <c r="HT25" s="3"/>
    </row>
    <row r="26" spans="1:444">
      <c r="DN26" s="8"/>
      <c r="DO26" s="8"/>
      <c r="DP26" s="8"/>
      <c r="DQ26" s="28"/>
      <c r="DR26" s="28"/>
      <c r="DS26" s="28"/>
      <c r="DT26" s="28"/>
      <c r="DU26" s="45"/>
      <c r="DV26" s="3"/>
      <c r="DW26" s="21"/>
      <c r="DX26" s="3"/>
      <c r="DY26" s="21"/>
      <c r="DZ26" s="7"/>
      <c r="EA26" s="21"/>
      <c r="EB26" s="48"/>
      <c r="EC26" s="3"/>
      <c r="ED26" s="3"/>
      <c r="EE26" s="8"/>
      <c r="EF26" s="8"/>
      <c r="EG26" s="42"/>
      <c r="EH26" s="28"/>
      <c r="EI26" s="28"/>
      <c r="EJ26" s="45"/>
      <c r="EK26" s="28"/>
      <c r="EL26" s="45"/>
      <c r="EM26" s="3"/>
      <c r="EN26" s="7"/>
      <c r="EO26" s="3"/>
      <c r="EP26" s="3"/>
      <c r="EQ26" s="7"/>
      <c r="ER26" s="3"/>
      <c r="ES26" s="7"/>
      <c r="ET26" s="3"/>
      <c r="EU26" s="7"/>
      <c r="EV26" s="3"/>
      <c r="EW26" s="62"/>
      <c r="EX26" s="3"/>
      <c r="EY26" s="8"/>
      <c r="EZ26" s="8"/>
      <c r="FA26" s="8"/>
      <c r="FB26" s="28"/>
      <c r="FC26" s="28"/>
      <c r="FD26" s="28"/>
      <c r="FE26" s="28"/>
      <c r="FF26" s="28"/>
      <c r="FG26" s="3"/>
      <c r="FH26" s="21"/>
      <c r="FI26" s="3"/>
      <c r="FJ26" s="3"/>
      <c r="FK26" s="3"/>
      <c r="FL26" s="3"/>
      <c r="FM26" s="3"/>
      <c r="FN26" s="3"/>
      <c r="FO26" s="3"/>
      <c r="FP26" s="8"/>
      <c r="FQ26" s="8"/>
      <c r="FR26" s="8"/>
      <c r="FS26" s="28"/>
      <c r="FT26" s="28"/>
      <c r="FU26" s="28"/>
      <c r="FV26" s="28"/>
      <c r="FW26" s="28"/>
      <c r="FX26" s="3"/>
      <c r="FY26" s="21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8"/>
      <c r="GK26" s="8"/>
      <c r="GL26" s="8"/>
      <c r="GM26" s="28"/>
      <c r="GN26" s="28"/>
      <c r="GO26" s="28"/>
      <c r="GP26" s="28"/>
      <c r="GQ26" s="28"/>
      <c r="GR26" s="3"/>
      <c r="GS26" s="21"/>
      <c r="GT26" s="3"/>
      <c r="GU26" s="3"/>
      <c r="GV26" s="3"/>
      <c r="GW26" s="3"/>
      <c r="GX26" s="3"/>
      <c r="GY26" s="3"/>
      <c r="GZ26" s="3"/>
      <c r="HA26" s="8"/>
      <c r="HB26" s="8"/>
      <c r="HC26" s="8"/>
      <c r="HD26" s="28"/>
      <c r="HE26" s="28"/>
      <c r="HF26" s="28"/>
      <c r="HG26" s="28"/>
      <c r="HH26" s="28"/>
      <c r="HI26" s="3"/>
      <c r="HJ26" s="21"/>
      <c r="HK26" s="3"/>
      <c r="HL26" s="3"/>
      <c r="HM26" s="3"/>
      <c r="HN26" s="3"/>
      <c r="HO26" s="3"/>
      <c r="HP26" s="3"/>
      <c r="HQ26" s="3"/>
      <c r="HR26" s="3"/>
      <c r="HS26" s="3"/>
      <c r="HT26" s="3"/>
    </row>
    <row r="27" spans="1:444">
      <c r="DN27" s="8"/>
      <c r="DO27" s="8"/>
      <c r="DP27" s="8"/>
      <c r="DQ27" s="28"/>
      <c r="DR27" s="28"/>
      <c r="DS27" s="28"/>
      <c r="DT27" s="28"/>
      <c r="DU27" s="45"/>
      <c r="DV27" s="3"/>
      <c r="DW27" s="21"/>
      <c r="DX27" s="3"/>
      <c r="DY27" s="21"/>
      <c r="DZ27" s="7"/>
      <c r="EA27" s="21"/>
      <c r="EB27" s="48"/>
      <c r="EC27" s="3"/>
      <c r="ED27" s="3"/>
      <c r="EE27" s="8"/>
      <c r="EF27" s="8"/>
      <c r="EG27" s="42"/>
      <c r="EH27" s="28"/>
      <c r="EI27" s="28"/>
      <c r="EJ27" s="45"/>
      <c r="EK27" s="28"/>
      <c r="EL27" s="45"/>
      <c r="EM27" s="3"/>
      <c r="EN27" s="7"/>
      <c r="EO27" s="3"/>
      <c r="EP27" s="3"/>
      <c r="EQ27" s="7"/>
      <c r="ER27" s="3"/>
      <c r="ES27" s="7"/>
      <c r="ET27" s="3"/>
      <c r="EU27" s="7"/>
      <c r="EV27" s="3"/>
      <c r="EW27" s="62"/>
      <c r="EX27" s="3"/>
      <c r="EY27" s="8"/>
      <c r="EZ27" s="8"/>
      <c r="FA27" s="8"/>
      <c r="FB27" s="28"/>
      <c r="FC27" s="28"/>
      <c r="FD27" s="28"/>
      <c r="FE27" s="28"/>
      <c r="FF27" s="28"/>
      <c r="FG27" s="3"/>
      <c r="FH27" s="21"/>
      <c r="FI27" s="3"/>
      <c r="FJ27" s="3"/>
      <c r="FK27" s="3"/>
      <c r="FL27" s="3"/>
      <c r="FM27" s="3"/>
      <c r="FN27" s="3"/>
      <c r="FO27" s="3"/>
      <c r="FP27" s="8"/>
      <c r="FQ27" s="8"/>
      <c r="FR27" s="8"/>
      <c r="FS27" s="28"/>
      <c r="FT27" s="28"/>
      <c r="FU27" s="28"/>
      <c r="FV27" s="28"/>
      <c r="FW27" s="28"/>
      <c r="FX27" s="3"/>
      <c r="FY27" s="21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8"/>
      <c r="GK27" s="8"/>
      <c r="GL27" s="8"/>
      <c r="GM27" s="28"/>
      <c r="GN27" s="28"/>
      <c r="GO27" s="28"/>
      <c r="GP27" s="28"/>
      <c r="GQ27" s="28"/>
      <c r="GR27" s="3"/>
      <c r="GS27" s="21"/>
      <c r="GT27" s="3"/>
      <c r="GU27" s="3"/>
      <c r="GV27" s="3"/>
      <c r="GW27" s="3"/>
      <c r="GX27" s="3"/>
      <c r="GY27" s="3"/>
      <c r="GZ27" s="3"/>
      <c r="HA27" s="8"/>
      <c r="HB27" s="8"/>
      <c r="HC27" s="8"/>
      <c r="HD27" s="28"/>
      <c r="HE27" s="28"/>
      <c r="HF27" s="28"/>
      <c r="HG27" s="28"/>
      <c r="HH27" s="28"/>
      <c r="HI27" s="3"/>
      <c r="HJ27" s="21"/>
      <c r="HK27" s="3"/>
      <c r="HL27" s="3"/>
      <c r="HM27" s="3"/>
      <c r="HN27" s="3"/>
      <c r="HO27" s="3"/>
      <c r="HP27" s="3"/>
      <c r="HQ27" s="3"/>
      <c r="HR27" s="3"/>
      <c r="HS27" s="3"/>
      <c r="HT27" s="3"/>
    </row>
    <row r="28" spans="1:444">
      <c r="DN28" s="8"/>
      <c r="DO28" s="8"/>
      <c r="DP28" s="8"/>
      <c r="DQ28" s="28"/>
      <c r="DR28" s="28"/>
      <c r="DS28" s="28"/>
      <c r="DT28" s="28"/>
      <c r="DU28" s="45"/>
      <c r="DV28" s="3"/>
      <c r="DW28" s="21"/>
      <c r="DX28" s="3"/>
      <c r="DY28" s="21"/>
      <c r="DZ28" s="7"/>
      <c r="EA28" s="21"/>
      <c r="EB28" s="48"/>
      <c r="EC28" s="3"/>
      <c r="ED28" s="3"/>
      <c r="EE28" s="8"/>
      <c r="EF28" s="8"/>
      <c r="EG28" s="42"/>
      <c r="EH28" s="28"/>
      <c r="EI28" s="28"/>
      <c r="EJ28" s="45"/>
      <c r="EK28" s="28"/>
      <c r="EL28" s="45"/>
      <c r="EM28" s="3"/>
      <c r="EN28" s="7"/>
      <c r="EO28" s="3"/>
      <c r="EP28" s="3"/>
      <c r="EQ28" s="7"/>
      <c r="ER28" s="3"/>
      <c r="ES28" s="7"/>
      <c r="ET28" s="3"/>
      <c r="EU28" s="7"/>
      <c r="EV28" s="3"/>
      <c r="EW28" s="62"/>
      <c r="EX28" s="3"/>
      <c r="EY28" s="8"/>
      <c r="EZ28" s="8"/>
      <c r="FA28" s="8"/>
      <c r="FB28" s="28"/>
      <c r="FC28" s="28"/>
      <c r="FD28" s="28"/>
      <c r="FE28" s="28"/>
      <c r="FF28" s="28"/>
      <c r="FG28" s="3"/>
      <c r="FH28" s="21"/>
      <c r="FI28" s="3"/>
      <c r="FJ28" s="3"/>
      <c r="FK28" s="3"/>
      <c r="FL28" s="3"/>
      <c r="FM28" s="3"/>
      <c r="FN28" s="3"/>
      <c r="FO28" s="3"/>
      <c r="FP28" s="8"/>
      <c r="FQ28" s="8"/>
      <c r="FR28" s="8"/>
      <c r="FS28" s="28"/>
      <c r="FT28" s="28"/>
      <c r="FU28" s="28"/>
      <c r="FV28" s="28"/>
      <c r="FW28" s="28"/>
      <c r="FX28" s="3"/>
      <c r="FY28" s="21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8"/>
      <c r="GK28" s="8"/>
      <c r="GL28" s="8"/>
      <c r="GM28" s="28"/>
      <c r="GN28" s="28"/>
      <c r="GO28" s="28"/>
      <c r="GP28" s="28"/>
      <c r="GQ28" s="28"/>
      <c r="GR28" s="3"/>
      <c r="GS28" s="21"/>
      <c r="GT28" s="3"/>
      <c r="GU28" s="3"/>
      <c r="GV28" s="3"/>
      <c r="GW28" s="3"/>
      <c r="GX28" s="3"/>
      <c r="GY28" s="3"/>
      <c r="GZ28" s="3"/>
      <c r="HA28" s="8"/>
      <c r="HB28" s="8"/>
      <c r="HC28" s="8"/>
      <c r="HD28" s="28"/>
      <c r="HE28" s="28"/>
      <c r="HF28" s="28"/>
      <c r="HG28" s="28"/>
      <c r="HH28" s="28"/>
      <c r="HI28" s="3"/>
      <c r="HJ28" s="21"/>
      <c r="HK28" s="3"/>
      <c r="HL28" s="3"/>
      <c r="HM28" s="3"/>
      <c r="HN28" s="3"/>
      <c r="HO28" s="3"/>
      <c r="HP28" s="3"/>
      <c r="HQ28" s="3"/>
      <c r="HR28" s="3"/>
      <c r="HS28" s="3"/>
      <c r="HT28" s="3"/>
    </row>
    <row r="29" spans="1:444">
      <c r="DN29" s="8"/>
      <c r="DO29" s="8"/>
      <c r="DP29" s="8"/>
      <c r="DQ29" s="28"/>
      <c r="DR29" s="28"/>
      <c r="DS29" s="28"/>
      <c r="DT29" s="28"/>
      <c r="DU29" s="45"/>
      <c r="DV29" s="3"/>
      <c r="DW29" s="21"/>
      <c r="DX29" s="3"/>
      <c r="DY29" s="21"/>
      <c r="DZ29" s="7"/>
      <c r="EA29" s="21"/>
      <c r="EB29" s="48"/>
      <c r="EC29" s="3"/>
      <c r="ED29" s="3"/>
      <c r="EE29" s="8"/>
      <c r="EF29" s="8"/>
      <c r="EG29" s="42"/>
      <c r="EH29" s="28"/>
      <c r="EI29" s="28"/>
      <c r="EJ29" s="45"/>
      <c r="EK29" s="28"/>
      <c r="EL29" s="45"/>
      <c r="EM29" s="3"/>
      <c r="EN29" s="7"/>
      <c r="EO29" s="3"/>
      <c r="EP29" s="3"/>
      <c r="EQ29" s="7"/>
      <c r="ER29" s="3"/>
      <c r="ES29" s="7"/>
      <c r="ET29" s="3"/>
      <c r="EU29" s="7"/>
      <c r="EV29" s="3"/>
      <c r="EW29" s="62"/>
      <c r="EX29" s="3"/>
      <c r="EY29" s="8"/>
      <c r="EZ29" s="8"/>
      <c r="FA29" s="8"/>
      <c r="FB29" s="28"/>
      <c r="FC29" s="28"/>
      <c r="FD29" s="28"/>
      <c r="FE29" s="28"/>
      <c r="FF29" s="28"/>
      <c r="FG29" s="3"/>
      <c r="FH29" s="21"/>
      <c r="FI29" s="3"/>
      <c r="FJ29" s="3"/>
      <c r="FK29" s="3"/>
      <c r="FL29" s="3"/>
      <c r="FM29" s="3"/>
      <c r="FN29" s="3"/>
      <c r="FO29" s="3"/>
      <c r="FP29" s="8"/>
      <c r="FQ29" s="8"/>
      <c r="FR29" s="8"/>
      <c r="FS29" s="28"/>
      <c r="FT29" s="28"/>
      <c r="FU29" s="28"/>
      <c r="FV29" s="28"/>
      <c r="FW29" s="28"/>
      <c r="FX29" s="3"/>
      <c r="FY29" s="21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8"/>
      <c r="GK29" s="8"/>
      <c r="GL29" s="8"/>
      <c r="GM29" s="28"/>
      <c r="GN29" s="28"/>
      <c r="GO29" s="28"/>
      <c r="GP29" s="28"/>
      <c r="GQ29" s="28"/>
      <c r="GR29" s="3"/>
      <c r="GS29" s="21"/>
      <c r="GT29" s="3"/>
      <c r="GU29" s="3"/>
      <c r="GV29" s="3"/>
      <c r="GW29" s="3"/>
      <c r="GX29" s="3"/>
      <c r="GY29" s="3"/>
      <c r="GZ29" s="3"/>
      <c r="HA29" s="8"/>
      <c r="HB29" s="8"/>
      <c r="HC29" s="8"/>
      <c r="HD29" s="28"/>
      <c r="HE29" s="28"/>
      <c r="HF29" s="28"/>
      <c r="HG29" s="28"/>
      <c r="HH29" s="28"/>
      <c r="HI29" s="3"/>
      <c r="HJ29" s="21"/>
      <c r="HK29" s="3"/>
      <c r="HL29" s="3"/>
      <c r="HM29" s="3"/>
      <c r="HN29" s="3"/>
      <c r="HO29" s="3"/>
      <c r="HP29" s="3"/>
      <c r="HQ29" s="3"/>
      <c r="HR29" s="3"/>
      <c r="HS29" s="3"/>
      <c r="HT29" s="3"/>
    </row>
    <row r="30" spans="1:444">
      <c r="DN30" s="8"/>
      <c r="DO30" s="8"/>
      <c r="DP30" s="8"/>
      <c r="DQ30" s="28"/>
      <c r="DR30" s="28"/>
      <c r="DS30" s="28"/>
      <c r="DT30" s="28"/>
      <c r="DU30" s="45"/>
      <c r="DV30" s="3"/>
      <c r="DW30" s="21"/>
      <c r="DX30" s="3"/>
      <c r="DY30" s="21"/>
      <c r="DZ30" s="7"/>
      <c r="EA30" s="21"/>
      <c r="EB30" s="48"/>
      <c r="EC30" s="3"/>
      <c r="ED30" s="3"/>
      <c r="EE30" s="8"/>
      <c r="EF30" s="8"/>
      <c r="EG30" s="42"/>
      <c r="EH30" s="28"/>
      <c r="EI30" s="28"/>
      <c r="EJ30" s="45"/>
      <c r="EK30" s="28"/>
      <c r="EL30" s="45"/>
      <c r="EM30" s="3"/>
      <c r="EN30" s="7"/>
      <c r="EO30" s="3"/>
      <c r="EP30" s="3"/>
      <c r="EQ30" s="7"/>
      <c r="ER30" s="3"/>
      <c r="ES30" s="7"/>
      <c r="ET30" s="3"/>
      <c r="EU30" s="7"/>
      <c r="EV30" s="3"/>
      <c r="EW30" s="62"/>
      <c r="EX30" s="3"/>
      <c r="EY30" s="8"/>
      <c r="EZ30" s="8"/>
      <c r="FA30" s="8"/>
      <c r="FB30" s="28"/>
      <c r="FC30" s="28"/>
      <c r="FD30" s="28"/>
      <c r="FE30" s="28"/>
      <c r="FF30" s="28"/>
      <c r="FG30" s="3"/>
      <c r="FH30" s="21"/>
      <c r="FI30" s="3"/>
      <c r="FJ30" s="3"/>
      <c r="FK30" s="3"/>
      <c r="FL30" s="3"/>
      <c r="FM30" s="3"/>
      <c r="FN30" s="3"/>
      <c r="FO30" s="3"/>
      <c r="FP30" s="8"/>
      <c r="FQ30" s="8"/>
      <c r="FR30" s="8"/>
      <c r="FS30" s="28"/>
      <c r="FT30" s="28"/>
      <c r="FU30" s="28"/>
      <c r="FV30" s="28"/>
      <c r="FW30" s="28"/>
      <c r="FX30" s="3"/>
      <c r="FY30" s="21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8"/>
      <c r="GK30" s="8"/>
      <c r="GL30" s="8"/>
      <c r="GM30" s="28"/>
      <c r="GN30" s="28"/>
      <c r="GO30" s="28"/>
      <c r="GP30" s="28"/>
      <c r="GQ30" s="28"/>
      <c r="GR30" s="3"/>
      <c r="GS30" s="21"/>
      <c r="GT30" s="3"/>
      <c r="GU30" s="3"/>
      <c r="GV30" s="3"/>
      <c r="GW30" s="3"/>
      <c r="GX30" s="3"/>
      <c r="GY30" s="3"/>
      <c r="GZ30" s="3"/>
      <c r="HA30" s="8"/>
      <c r="HB30" s="8"/>
      <c r="HC30" s="8"/>
      <c r="HD30" s="28"/>
      <c r="HE30" s="28"/>
      <c r="HF30" s="28"/>
      <c r="HG30" s="28"/>
      <c r="HH30" s="28"/>
      <c r="HI30" s="3"/>
      <c r="HJ30" s="21"/>
      <c r="HK30" s="3"/>
      <c r="HL30" s="3"/>
      <c r="HM30" s="3"/>
      <c r="HN30" s="3"/>
      <c r="HO30" s="3"/>
      <c r="HP30" s="3"/>
      <c r="HQ30" s="3"/>
      <c r="HR30" s="3"/>
      <c r="HS30" s="3"/>
      <c r="HT30" s="3"/>
    </row>
    <row r="31" spans="1:444">
      <c r="FP31" s="8"/>
      <c r="FQ31" s="8"/>
      <c r="FR31" s="8"/>
      <c r="FS31" s="28"/>
      <c r="FT31" s="28"/>
      <c r="FU31" s="28"/>
      <c r="FV31" s="28"/>
      <c r="FW31" s="28"/>
      <c r="FX31" s="3"/>
      <c r="FY31" s="21"/>
      <c r="FZ31" s="3"/>
      <c r="GA31" s="3"/>
      <c r="GB31" s="3"/>
      <c r="GC31" s="3"/>
      <c r="GD31" s="3"/>
      <c r="GE31" s="3"/>
      <c r="GF31" s="3"/>
      <c r="GG31" s="3"/>
      <c r="GH31" s="3"/>
      <c r="GI31" s="3"/>
    </row>
  </sheetData>
  <mergeCells count="50">
    <mergeCell ref="PO1:QB1"/>
    <mergeCell ref="CC1:CG1"/>
    <mergeCell ref="CI1:CM1"/>
    <mergeCell ref="CO1:CS1"/>
    <mergeCell ref="MO1:MY1"/>
    <mergeCell ref="ND1:NL1"/>
    <mergeCell ref="NU1:OE1"/>
    <mergeCell ref="OJ1:OT1"/>
    <mergeCell ref="LZ1:MJ1"/>
    <mergeCell ref="JC1:JM1"/>
    <mergeCell ref="KG1:KQ1"/>
    <mergeCell ref="LK1:LU1"/>
    <mergeCell ref="HA1:HR1"/>
    <mergeCell ref="A1:R1"/>
    <mergeCell ref="DN1:EC1"/>
    <mergeCell ref="HU1:II1"/>
    <mergeCell ref="IK1:IU1"/>
    <mergeCell ref="KV1:LF1"/>
    <mergeCell ref="JR1:KB1"/>
    <mergeCell ref="FP1:GG1"/>
    <mergeCell ref="GJ1:GY1"/>
    <mergeCell ref="EE1:EV1"/>
    <mergeCell ref="EY1:FN1"/>
    <mergeCell ref="AG1:AI1"/>
    <mergeCell ref="BP1:BQ1"/>
    <mergeCell ref="BR1:BS1"/>
    <mergeCell ref="BJ1:BK1"/>
    <mergeCell ref="BH1:BI1"/>
    <mergeCell ref="BN1:BO1"/>
    <mergeCell ref="BL1:BM1"/>
    <mergeCell ref="BV1:BW1"/>
    <mergeCell ref="BX1:BY1"/>
    <mergeCell ref="BZ1:CA1"/>
    <mergeCell ref="BF1:BG1"/>
    <mergeCell ref="HO19:HP21"/>
    <mergeCell ref="HQ19:HR21"/>
    <mergeCell ref="O19:Q21"/>
    <mergeCell ref="EB19:EC21"/>
    <mergeCell ref="CV1:DK1"/>
    <mergeCell ref="ES19:ET21"/>
    <mergeCell ref="EU19:EV21"/>
    <mergeCell ref="AJ1:AK1"/>
    <mergeCell ref="AL1:AM1"/>
    <mergeCell ref="AN1:AO1"/>
    <mergeCell ref="AP1:AQ1"/>
    <mergeCell ref="BT1:BU1"/>
    <mergeCell ref="AR1:AS1"/>
    <mergeCell ref="AT1:AU1"/>
    <mergeCell ref="AV1:AW1"/>
    <mergeCell ref="AZ1:BA1"/>
  </mergeCells>
  <phoneticPr fontId="1" type="noConversion"/>
  <pageMargins left="0.7" right="0.7" top="0.75" bottom="0.75" header="0.3" footer="0.3"/>
  <ignoredErrors>
    <ignoredError sqref="AJ5 AJ10 AI3" formula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A23"/>
  <sheetViews>
    <sheetView workbookViewId="0">
      <pane xSplit="1" topLeftCell="CZ1" activePane="topRight" state="frozen"/>
      <selection pane="topRight" activeCell="CW10" sqref="CW10"/>
    </sheetView>
  </sheetViews>
  <sheetFormatPr baseColWidth="10" defaultRowHeight="15" x14ac:dyDescent="0"/>
  <cols>
    <col min="1" max="2" width="5.6640625" style="27" customWidth="1"/>
    <col min="3" max="4" width="11.83203125" style="27" customWidth="1"/>
    <col min="5" max="5" width="29" style="27" customWidth="1"/>
    <col min="6" max="8" width="10.83203125" style="27"/>
    <col min="9" max="9" width="28.5" style="27" customWidth="1"/>
    <col min="10" max="12" width="10.83203125" style="27"/>
    <col min="13" max="13" width="23.5" style="27" customWidth="1"/>
    <col min="14" max="18" width="10.83203125" style="27"/>
    <col min="19" max="20" width="4.83203125" style="27" customWidth="1"/>
    <col min="21" max="22" width="10.83203125" style="27"/>
    <col min="23" max="23" width="4.83203125" style="27" customWidth="1"/>
    <col min="24" max="24" width="4.6640625" style="27" customWidth="1"/>
    <col min="25" max="25" width="27.5" style="27" customWidth="1"/>
    <col min="26" max="26" width="14" style="27" customWidth="1"/>
    <col min="27" max="27" width="15.83203125" style="27" customWidth="1"/>
    <col min="28" max="29" width="10.83203125" style="27"/>
    <col min="30" max="30" width="34" style="27" customWidth="1"/>
    <col min="31" max="34" width="10.83203125" style="27"/>
    <col min="35" max="35" width="25" style="27" customWidth="1"/>
    <col min="36" max="39" width="10.83203125" style="27"/>
    <col min="40" max="40" width="26.33203125" style="27" customWidth="1"/>
    <col min="41" max="47" width="10.83203125" style="27"/>
    <col min="48" max="49" width="5.5" style="27" customWidth="1"/>
    <col min="50" max="51" width="10.83203125" style="27"/>
    <col min="52" max="52" width="25.5" style="27" customWidth="1"/>
    <col min="53" max="53" width="14.6640625" style="27" customWidth="1"/>
    <col min="54" max="55" width="10.83203125" style="27"/>
    <col min="56" max="56" width="28" style="27" customWidth="1"/>
    <col min="57" max="60" width="10.83203125" style="27"/>
    <col min="61" max="62" width="5.6640625" style="27" customWidth="1"/>
    <col min="63" max="64" width="10.83203125" style="27"/>
    <col min="65" max="65" width="5" style="27" customWidth="1"/>
    <col min="66" max="66" width="4.5" style="27" customWidth="1"/>
    <col min="67" max="67" width="31.83203125" style="27" customWidth="1"/>
    <col min="68" max="71" width="10.83203125" style="27"/>
    <col min="72" max="72" width="27.6640625" style="27" customWidth="1"/>
    <col min="73" max="76" width="10.83203125" style="27"/>
    <col min="77" max="77" width="21.83203125" style="27" customWidth="1"/>
    <col min="78" max="81" width="10.83203125" style="27"/>
    <col min="82" max="82" width="20.83203125" style="27" customWidth="1"/>
    <col min="83" max="87" width="10.83203125" style="27"/>
    <col min="88" max="89" width="5.33203125" style="27" customWidth="1"/>
    <col min="90" max="91" width="10.83203125" style="27"/>
    <col min="92" max="93" width="4.33203125" style="27" customWidth="1"/>
    <col min="94" max="94" width="21.1640625" style="27" customWidth="1"/>
    <col min="95" max="98" width="10.83203125" style="27"/>
    <col min="99" max="99" width="14.6640625" style="27" customWidth="1"/>
    <col min="100" max="109" width="10.83203125" style="27"/>
    <col min="110" max="110" width="13.6640625" style="27" customWidth="1"/>
    <col min="111" max="119" width="10.83203125" style="27"/>
    <col min="120" max="120" width="28.1640625" style="27" customWidth="1"/>
    <col min="121" max="121" width="14.6640625" style="27" customWidth="1"/>
    <col min="122" max="123" width="10.83203125" style="27"/>
    <col min="124" max="124" width="25" style="27" customWidth="1"/>
    <col min="125" max="127" width="10.83203125" style="27"/>
    <col min="128" max="128" width="21.6640625" style="27" customWidth="1"/>
    <col min="129" max="16384" width="10.83203125" style="27"/>
  </cols>
  <sheetData>
    <row r="1" spans="1:131" ht="16">
      <c r="A1" s="111" t="s">
        <v>1</v>
      </c>
      <c r="B1" s="111"/>
      <c r="C1" s="111"/>
      <c r="D1" s="111"/>
      <c r="E1" s="111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112" t="s">
        <v>2</v>
      </c>
      <c r="T1" s="112"/>
      <c r="U1" s="112"/>
      <c r="V1" s="112"/>
      <c r="W1" s="91"/>
      <c r="X1" s="91"/>
      <c r="Y1" s="58"/>
      <c r="Z1" s="58"/>
      <c r="AA1" s="58"/>
      <c r="AB1" s="58"/>
      <c r="AC1" s="58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109" t="s">
        <v>3</v>
      </c>
      <c r="AW1" s="109"/>
      <c r="AX1" s="109"/>
      <c r="AY1" s="90"/>
      <c r="AZ1" s="56"/>
      <c r="BA1" s="56"/>
      <c r="BB1" s="56"/>
      <c r="BC1" s="56"/>
      <c r="BD1" s="56"/>
      <c r="BE1" s="56"/>
      <c r="BF1" s="56"/>
      <c r="BG1" s="56"/>
      <c r="BH1" s="56"/>
      <c r="BI1" s="109" t="s">
        <v>4</v>
      </c>
      <c r="BJ1" s="109"/>
      <c r="BK1" s="109"/>
      <c r="BL1" s="109"/>
      <c r="BM1" s="90"/>
      <c r="BN1" s="90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113" t="s">
        <v>6</v>
      </c>
      <c r="CK1" s="113"/>
      <c r="CL1" s="88"/>
      <c r="CM1" s="88"/>
      <c r="CN1" s="89"/>
      <c r="CO1" s="89"/>
      <c r="CP1" s="88"/>
      <c r="CQ1" s="88"/>
      <c r="CR1" s="88"/>
      <c r="CS1" s="55"/>
      <c r="CT1" s="55"/>
      <c r="CU1" s="55"/>
      <c r="CV1" s="55"/>
      <c r="CW1" s="55"/>
      <c r="CX1" s="55"/>
      <c r="CY1" s="55"/>
      <c r="CZ1" s="55"/>
      <c r="DA1" s="55"/>
      <c r="DB1" s="113" t="s">
        <v>5</v>
      </c>
      <c r="DC1" s="113"/>
      <c r="DD1" s="55"/>
      <c r="DE1" s="55"/>
      <c r="DF1" s="55"/>
      <c r="DG1" s="55"/>
      <c r="DH1" s="55"/>
      <c r="DI1" s="55"/>
      <c r="DJ1" s="55"/>
      <c r="DK1" s="55"/>
      <c r="DL1" s="107" t="s">
        <v>36</v>
      </c>
      <c r="DM1" s="107"/>
      <c r="DN1" s="55"/>
      <c r="DO1" s="55"/>
      <c r="DP1" s="55"/>
      <c r="DQ1" s="55"/>
    </row>
    <row r="2" spans="1:131" ht="16">
      <c r="A2" s="59" t="s">
        <v>13</v>
      </c>
      <c r="B2" s="59" t="str">
        <f>Numbers!AJ2</f>
        <v>total</v>
      </c>
      <c r="C2" s="27" t="str">
        <f>Numbers!EC2</f>
        <v>Cr. Store</v>
      </c>
      <c r="D2" s="25" t="s">
        <v>114</v>
      </c>
      <c r="E2" s="5" t="s">
        <v>101</v>
      </c>
      <c r="F2" s="1" t="s">
        <v>103</v>
      </c>
      <c r="G2" s="1" t="s">
        <v>110</v>
      </c>
      <c r="H2" s="1" t="s">
        <v>111</v>
      </c>
      <c r="I2" s="5" t="s">
        <v>102</v>
      </c>
      <c r="J2" s="1" t="s">
        <v>105</v>
      </c>
      <c r="K2" s="1" t="s">
        <v>112</v>
      </c>
      <c r="L2" s="1" t="s">
        <v>113</v>
      </c>
      <c r="M2" s="5" t="s">
        <v>420</v>
      </c>
      <c r="N2" s="1" t="s">
        <v>436</v>
      </c>
      <c r="O2" s="1" t="s">
        <v>423</v>
      </c>
      <c r="P2" s="1" t="s">
        <v>424</v>
      </c>
      <c r="Q2" s="1"/>
      <c r="S2" s="59" t="str">
        <f>Numbers!EE2</f>
        <v>Level</v>
      </c>
      <c r="T2" s="59" t="str">
        <f>Numbers!AL2</f>
        <v>total</v>
      </c>
      <c r="U2" s="27" t="str">
        <f>Numbers!ET2</f>
        <v>Cr. Farm</v>
      </c>
      <c r="V2" s="27" t="str">
        <f>Numbers!EV2</f>
        <v>Cr. Max</v>
      </c>
      <c r="W2" s="27" t="s">
        <v>114</v>
      </c>
      <c r="X2" s="27" t="s">
        <v>114</v>
      </c>
      <c r="Y2" s="5" t="s">
        <v>101</v>
      </c>
      <c r="Z2" s="1" t="s">
        <v>106</v>
      </c>
      <c r="AA2" s="3" t="s">
        <v>109</v>
      </c>
      <c r="AB2" s="1" t="s">
        <v>110</v>
      </c>
      <c r="AC2" s="1" t="s">
        <v>111</v>
      </c>
      <c r="AD2" s="5" t="s">
        <v>102</v>
      </c>
      <c r="AE2" s="1" t="s">
        <v>417</v>
      </c>
      <c r="AF2" s="3" t="s">
        <v>418</v>
      </c>
      <c r="AG2" s="1" t="s">
        <v>112</v>
      </c>
      <c r="AH2" s="1" t="s">
        <v>113</v>
      </c>
      <c r="AI2" s="5" t="s">
        <v>420</v>
      </c>
      <c r="AJ2" s="1" t="s">
        <v>427</v>
      </c>
      <c r="AK2" s="3" t="s">
        <v>428</v>
      </c>
      <c r="AL2" s="1" t="s">
        <v>423</v>
      </c>
      <c r="AM2" s="1" t="s">
        <v>424</v>
      </c>
      <c r="AN2" s="5" t="s">
        <v>429</v>
      </c>
      <c r="AO2" s="1" t="s">
        <v>430</v>
      </c>
      <c r="AP2" s="3" t="s">
        <v>431</v>
      </c>
      <c r="AQ2" s="1" t="s">
        <v>432</v>
      </c>
      <c r="AR2" s="1" t="s">
        <v>433</v>
      </c>
      <c r="AS2" s="1"/>
      <c r="AT2" s="1"/>
      <c r="AU2" s="1"/>
      <c r="AV2" s="59" t="str">
        <f>Numbers!EY2</f>
        <v>Level</v>
      </c>
      <c r="AW2" s="59" t="str">
        <f>Numbers!AN2</f>
        <v>total</v>
      </c>
      <c r="AX2" s="27" t="str">
        <f>Numbers!FN2</f>
        <v>Ad. Store</v>
      </c>
      <c r="AY2" s="27" t="s">
        <v>114</v>
      </c>
      <c r="AZ2" s="1" t="s">
        <v>101</v>
      </c>
      <c r="BA2" s="1" t="s">
        <v>411</v>
      </c>
      <c r="BB2" s="1" t="s">
        <v>110</v>
      </c>
      <c r="BC2" s="1" t="s">
        <v>111</v>
      </c>
      <c r="BD2" s="1" t="s">
        <v>102</v>
      </c>
      <c r="BE2" s="1" t="s">
        <v>425</v>
      </c>
      <c r="BF2" s="1" t="s">
        <v>112</v>
      </c>
      <c r="BG2" s="1" t="s">
        <v>113</v>
      </c>
      <c r="BH2" s="1"/>
      <c r="BI2" s="59" t="str">
        <f>Numbers!FP2</f>
        <v>Level</v>
      </c>
      <c r="BJ2" s="59" t="str">
        <f>Numbers!AP2</f>
        <v>total</v>
      </c>
      <c r="BK2" s="27" t="str">
        <f>Numbers!GE2</f>
        <v>Ad. Farm</v>
      </c>
      <c r="BL2" s="27" t="str">
        <f>Numbers!GG2</f>
        <v>Ad. Max</v>
      </c>
      <c r="BM2" s="27" t="s">
        <v>114</v>
      </c>
      <c r="BN2" s="27" t="s">
        <v>114</v>
      </c>
      <c r="BO2" s="96" t="s">
        <v>101</v>
      </c>
      <c r="BP2" s="1" t="s">
        <v>412</v>
      </c>
      <c r="BQ2" s="3" t="s">
        <v>413</v>
      </c>
      <c r="BR2" s="1" t="s">
        <v>110</v>
      </c>
      <c r="BS2" s="1" t="s">
        <v>111</v>
      </c>
      <c r="BT2" s="96" t="s">
        <v>102</v>
      </c>
      <c r="BU2" s="1" t="s">
        <v>414</v>
      </c>
      <c r="BV2" s="3" t="s">
        <v>415</v>
      </c>
      <c r="BW2" s="1" t="s">
        <v>112</v>
      </c>
      <c r="BX2" s="1" t="s">
        <v>113</v>
      </c>
      <c r="BY2" s="96" t="s">
        <v>420</v>
      </c>
      <c r="BZ2" s="1" t="s">
        <v>421</v>
      </c>
      <c r="CA2" s="3" t="s">
        <v>422</v>
      </c>
      <c r="CB2" s="1" t="s">
        <v>423</v>
      </c>
      <c r="CC2" s="1" t="s">
        <v>424</v>
      </c>
      <c r="CD2" s="96" t="s">
        <v>429</v>
      </c>
      <c r="CE2" s="1" t="s">
        <v>437</v>
      </c>
      <c r="CF2" s="3" t="s">
        <v>438</v>
      </c>
      <c r="CG2" s="1" t="s">
        <v>432</v>
      </c>
      <c r="CH2" s="1" t="s">
        <v>433</v>
      </c>
      <c r="CI2"/>
      <c r="CJ2" s="59" t="s">
        <v>13</v>
      </c>
      <c r="CK2" s="59" t="s">
        <v>37</v>
      </c>
      <c r="CL2" s="27" t="str">
        <f>Numbers!HP2</f>
        <v>Ti. Farm</v>
      </c>
      <c r="CM2" s="27" t="str">
        <f>Numbers!HR2</f>
        <v>Ti. Max</v>
      </c>
      <c r="CN2" s="27" t="s">
        <v>114</v>
      </c>
      <c r="CO2" s="27" t="s">
        <v>114</v>
      </c>
      <c r="CP2" s="96" t="s">
        <v>101</v>
      </c>
      <c r="CQ2" s="1" t="s">
        <v>434</v>
      </c>
      <c r="CR2" s="3" t="s">
        <v>435</v>
      </c>
      <c r="CS2" s="1" t="s">
        <v>110</v>
      </c>
      <c r="CT2" s="1" t="s">
        <v>111</v>
      </c>
      <c r="CU2" s="96" t="s">
        <v>102</v>
      </c>
      <c r="CV2" s="1" t="s">
        <v>439</v>
      </c>
      <c r="CW2" s="3" t="s">
        <v>440</v>
      </c>
      <c r="CX2" s="1" t="s">
        <v>112</v>
      </c>
      <c r="CY2" s="1" t="s">
        <v>113</v>
      </c>
      <c r="DB2" s="59" t="s">
        <v>13</v>
      </c>
      <c r="DC2" s="59" t="s">
        <v>37</v>
      </c>
      <c r="DD2" s="27" t="str">
        <f>Numbers!GY2</f>
        <v>Ti. Store</v>
      </c>
      <c r="DE2" s="27" t="s">
        <v>114</v>
      </c>
      <c r="DF2" s="5" t="s">
        <v>101</v>
      </c>
      <c r="DG2" s="1" t="s">
        <v>411</v>
      </c>
      <c r="DH2" s="1" t="s">
        <v>110</v>
      </c>
      <c r="DI2" s="1" t="s">
        <v>111</v>
      </c>
      <c r="DL2" s="27" t="s">
        <v>13</v>
      </c>
      <c r="DM2" s="27" t="s">
        <v>37</v>
      </c>
      <c r="DN2" s="27" t="str">
        <f>Numbers!NQ2</f>
        <v>Gen. En</v>
      </c>
      <c r="DO2" s="27" t="s">
        <v>114</v>
      </c>
      <c r="DP2" s="5" t="s">
        <v>101</v>
      </c>
      <c r="DQ2" s="1" t="s">
        <v>416</v>
      </c>
      <c r="DR2" s="1" t="s">
        <v>110</v>
      </c>
      <c r="DS2" s="1" t="s">
        <v>111</v>
      </c>
      <c r="DT2" s="5" t="s">
        <v>102</v>
      </c>
      <c r="DU2" s="1" t="s">
        <v>419</v>
      </c>
      <c r="DV2" s="1" t="s">
        <v>112</v>
      </c>
      <c r="DW2" s="1" t="s">
        <v>113</v>
      </c>
      <c r="DX2" s="5" t="s">
        <v>420</v>
      </c>
      <c r="DY2" s="1" t="s">
        <v>426</v>
      </c>
      <c r="DZ2" s="1" t="s">
        <v>423</v>
      </c>
      <c r="EA2" s="1" t="s">
        <v>424</v>
      </c>
    </row>
    <row r="3" spans="1:131" ht="16">
      <c r="A3" s="59">
        <f>Numbers!DN3</f>
        <v>1</v>
      </c>
      <c r="B3" s="59">
        <f>Numbers!AJ3</f>
        <v>1</v>
      </c>
      <c r="C3" s="27">
        <f>Numbers!EC3</f>
        <v>1200</v>
      </c>
      <c r="D3" s="92">
        <v>20</v>
      </c>
      <c r="E3" s="92" t="s">
        <v>277</v>
      </c>
      <c r="F3" s="1">
        <f t="shared" ref="F3:F11" si="0">D3*0.01*C3</f>
        <v>240</v>
      </c>
      <c r="G3" s="74">
        <v>5</v>
      </c>
      <c r="H3" s="74">
        <v>1</v>
      </c>
      <c r="I3" s="92" t="s">
        <v>316</v>
      </c>
      <c r="J3" s="1">
        <f>D3*0.01*C3</f>
        <v>240</v>
      </c>
      <c r="K3" s="74">
        <v>5</v>
      </c>
      <c r="L3" s="74">
        <v>1</v>
      </c>
      <c r="M3" s="92" t="s">
        <v>359</v>
      </c>
      <c r="N3" s="1">
        <f>D3*0.01*C3</f>
        <v>240</v>
      </c>
      <c r="O3" s="74">
        <v>5</v>
      </c>
      <c r="P3" s="74">
        <v>1</v>
      </c>
      <c r="Q3" s="1"/>
      <c r="S3" s="59">
        <f>Numbers!EE3</f>
        <v>1</v>
      </c>
      <c r="T3" s="59">
        <f>Numbers!AL3</f>
        <v>1</v>
      </c>
      <c r="U3" s="27">
        <f>Numbers!ET3</f>
        <v>100</v>
      </c>
      <c r="V3" s="27">
        <f>Numbers!EV3</f>
        <v>400</v>
      </c>
      <c r="W3" s="27">
        <v>20</v>
      </c>
      <c r="X3" s="27">
        <v>20</v>
      </c>
      <c r="Y3" s="92" t="s">
        <v>275</v>
      </c>
      <c r="Z3" s="1">
        <f>W3*0.01*U3</f>
        <v>20</v>
      </c>
      <c r="AA3" s="1"/>
      <c r="AB3" s="74">
        <v>5</v>
      </c>
      <c r="AC3" s="74">
        <v>1</v>
      </c>
      <c r="AD3" s="92" t="s">
        <v>284</v>
      </c>
      <c r="AF3" s="27">
        <f>X3*V3*0.01</f>
        <v>80</v>
      </c>
      <c r="AG3" s="74">
        <v>5</v>
      </c>
      <c r="AH3" s="74">
        <v>1</v>
      </c>
      <c r="AI3" s="92" t="s">
        <v>304</v>
      </c>
      <c r="AK3" s="27">
        <f>X3*V3*0.01</f>
        <v>80</v>
      </c>
      <c r="AL3" s="74">
        <v>5</v>
      </c>
      <c r="AM3" s="74">
        <v>1</v>
      </c>
      <c r="AN3" s="92" t="s">
        <v>337</v>
      </c>
      <c r="AP3" s="27">
        <f>X3*V3*0.01</f>
        <v>80</v>
      </c>
      <c r="AQ3" s="74">
        <v>5</v>
      </c>
      <c r="AR3" s="74">
        <v>1</v>
      </c>
      <c r="AV3" s="59">
        <f>Numbers!EY3</f>
        <v>1</v>
      </c>
      <c r="AW3" s="59">
        <f>Numbers!AN3</f>
        <v>1</v>
      </c>
      <c r="AX3" s="27">
        <f>Numbers!FN3</f>
        <v>1200</v>
      </c>
      <c r="AY3" s="92">
        <v>20</v>
      </c>
      <c r="AZ3" s="92" t="s">
        <v>98</v>
      </c>
      <c r="BA3" s="27">
        <f>AY3*0.01*AX3</f>
        <v>240</v>
      </c>
      <c r="BB3" s="74">
        <v>5</v>
      </c>
      <c r="BC3" s="74">
        <v>1</v>
      </c>
      <c r="BD3" s="92" t="s">
        <v>311</v>
      </c>
      <c r="BE3" s="27">
        <f>AY3*0.01*AX3</f>
        <v>240</v>
      </c>
      <c r="BF3" s="74">
        <v>5</v>
      </c>
      <c r="BG3" s="74">
        <v>1</v>
      </c>
      <c r="BI3" s="59">
        <f>Numbers!FP3</f>
        <v>1</v>
      </c>
      <c r="BJ3" s="59">
        <f>Numbers!AP3</f>
        <v>1</v>
      </c>
      <c r="BK3" s="27">
        <f>Numbers!GE3</f>
        <v>100</v>
      </c>
      <c r="BL3" s="27">
        <f>Numbers!GG3</f>
        <v>400</v>
      </c>
      <c r="BM3" s="27">
        <v>20</v>
      </c>
      <c r="BN3" s="27">
        <v>20</v>
      </c>
      <c r="BO3" s="92" t="s">
        <v>271</v>
      </c>
      <c r="BP3" s="1">
        <f>BM3*0.01*BK3</f>
        <v>20</v>
      </c>
      <c r="BQ3" s="1"/>
      <c r="BR3" s="74">
        <v>5</v>
      </c>
      <c r="BS3" s="74">
        <v>1</v>
      </c>
      <c r="BT3" s="92" t="s">
        <v>278</v>
      </c>
      <c r="BU3" s="27">
        <f>BM3*BK3*0.01</f>
        <v>20</v>
      </c>
      <c r="BW3" s="74">
        <v>5</v>
      </c>
      <c r="BX3" s="74">
        <v>1</v>
      </c>
      <c r="BY3" s="92" t="s">
        <v>299</v>
      </c>
      <c r="CA3" s="27">
        <f>BN3*BL3*0.01</f>
        <v>80</v>
      </c>
      <c r="CB3" s="74">
        <v>5</v>
      </c>
      <c r="CC3" s="74">
        <v>1</v>
      </c>
      <c r="CD3" s="92" t="s">
        <v>366</v>
      </c>
      <c r="CF3" s="27">
        <f>BN3*BL3*0.01</f>
        <v>80</v>
      </c>
      <c r="CG3" s="74">
        <v>5</v>
      </c>
      <c r="CH3" s="74">
        <v>1</v>
      </c>
      <c r="CJ3" s="59">
        <f>Numbers!HA3</f>
        <v>0</v>
      </c>
      <c r="CK3" s="59">
        <f>Numbers!AT3</f>
        <v>0</v>
      </c>
      <c r="CL3" s="27">
        <f>Numbers!HP3</f>
        <v>0</v>
      </c>
      <c r="CM3" s="27">
        <f>Numbers!HR3</f>
        <v>0</v>
      </c>
      <c r="DB3" s="59">
        <f>Numbers!GJ3</f>
        <v>0</v>
      </c>
      <c r="DC3" s="59">
        <f>Numbers!AR3</f>
        <v>0</v>
      </c>
      <c r="DD3" s="27">
        <f>Numbers!GY3</f>
        <v>0</v>
      </c>
      <c r="DL3" s="27">
        <f>Numbers!ND3</f>
        <v>0</v>
      </c>
      <c r="DM3" s="27">
        <f>Numbers!BP3</f>
        <v>0</v>
      </c>
      <c r="DN3" s="27">
        <f>Numbers!NQ3</f>
        <v>0</v>
      </c>
    </row>
    <row r="4" spans="1:131" ht="16">
      <c r="A4" s="59">
        <f>Numbers!DN4</f>
        <v>2</v>
      </c>
      <c r="B4" s="59">
        <f>Numbers!AJ4</f>
        <v>1</v>
      </c>
      <c r="C4" s="27">
        <f>Numbers!EC4</f>
        <v>2400</v>
      </c>
      <c r="D4" s="92">
        <f>D3</f>
        <v>20</v>
      </c>
      <c r="E4" s="92" t="s">
        <v>279</v>
      </c>
      <c r="F4" s="1">
        <f t="shared" si="0"/>
        <v>480</v>
      </c>
      <c r="G4" s="74">
        <v>5</v>
      </c>
      <c r="H4" s="74">
        <v>1</v>
      </c>
      <c r="I4" s="92" t="s">
        <v>317</v>
      </c>
      <c r="J4" s="1">
        <f t="shared" ref="J4:J11" si="1">D4*0.01*C4</f>
        <v>480</v>
      </c>
      <c r="K4" s="74">
        <v>5</v>
      </c>
      <c r="L4" s="74">
        <v>1</v>
      </c>
      <c r="M4" s="92" t="s">
        <v>360</v>
      </c>
      <c r="N4" s="1">
        <f t="shared" ref="N4:N11" si="2">D4*0.01*C4</f>
        <v>480</v>
      </c>
      <c r="O4" s="74">
        <v>5</v>
      </c>
      <c r="P4" s="74">
        <v>1</v>
      </c>
      <c r="Q4" s="1"/>
      <c r="S4" s="59">
        <f>Numbers!EE4</f>
        <v>2</v>
      </c>
      <c r="T4" s="59">
        <f>Numbers!AL4</f>
        <v>1</v>
      </c>
      <c r="U4" s="27">
        <f>Numbers!ET4</f>
        <v>200</v>
      </c>
      <c r="V4" s="27">
        <f>Numbers!EV4</f>
        <v>800</v>
      </c>
      <c r="W4" s="27">
        <f>W3</f>
        <v>20</v>
      </c>
      <c r="X4" s="27">
        <f>X3</f>
        <v>20</v>
      </c>
      <c r="Y4" s="92" t="s">
        <v>273</v>
      </c>
      <c r="Z4" s="1"/>
      <c r="AA4" s="1">
        <f t="shared" ref="AA4:AA10" si="3">X4*0.01*V4</f>
        <v>160</v>
      </c>
      <c r="AB4" s="74">
        <v>5</v>
      </c>
      <c r="AC4" s="74">
        <v>1</v>
      </c>
      <c r="AD4" s="92" t="s">
        <v>291</v>
      </c>
      <c r="AF4" s="27">
        <f t="shared" ref="AF4:AF10" si="4">X4*V4*0.01</f>
        <v>160</v>
      </c>
      <c r="AG4" s="74">
        <v>5</v>
      </c>
      <c r="AH4" s="74">
        <v>1</v>
      </c>
      <c r="AI4" s="92" t="s">
        <v>325</v>
      </c>
      <c r="AJ4" s="27">
        <f t="shared" ref="AJ4:AK7" si="5">W4*U4*0.01</f>
        <v>40</v>
      </c>
      <c r="AL4" s="74">
        <v>5</v>
      </c>
      <c r="AM4" s="74">
        <v>1</v>
      </c>
      <c r="AN4" s="92" t="s">
        <v>338</v>
      </c>
      <c r="AP4" s="27">
        <f t="shared" ref="AP4:AP11" si="6">X4*V4*0.01</f>
        <v>160</v>
      </c>
      <c r="AQ4" s="74">
        <v>5</v>
      </c>
      <c r="AR4" s="74">
        <v>1</v>
      </c>
      <c r="AV4" s="59">
        <f>Numbers!EY4</f>
        <v>2</v>
      </c>
      <c r="AW4" s="59">
        <f>Numbers!AN4</f>
        <v>1</v>
      </c>
      <c r="AX4" s="27">
        <f>Numbers!FN4</f>
        <v>2400</v>
      </c>
      <c r="AY4" s="92">
        <f>AY3</f>
        <v>20</v>
      </c>
      <c r="AZ4" s="92" t="s">
        <v>272</v>
      </c>
      <c r="BA4" s="27">
        <f t="shared" ref="BA4:BA5" si="7">AY4*0.01*AX4</f>
        <v>480</v>
      </c>
      <c r="BB4" s="74">
        <v>5</v>
      </c>
      <c r="BC4" s="74">
        <v>1</v>
      </c>
      <c r="BD4" s="92" t="s">
        <v>312</v>
      </c>
      <c r="BE4" s="27">
        <f t="shared" ref="BE4:BE11" si="8">AY4*0.01*AX4</f>
        <v>480</v>
      </c>
      <c r="BF4" s="74">
        <v>5</v>
      </c>
      <c r="BG4" s="74">
        <v>1</v>
      </c>
      <c r="BI4" s="59">
        <f>Numbers!FP4</f>
        <v>2</v>
      </c>
      <c r="BJ4" s="59">
        <f>Numbers!AP4</f>
        <v>2</v>
      </c>
      <c r="BK4" s="27">
        <f>Numbers!GE4</f>
        <v>200</v>
      </c>
      <c r="BL4" s="27">
        <f>Numbers!GG4</f>
        <v>800</v>
      </c>
      <c r="BM4" s="27">
        <f>BM3</f>
        <v>20</v>
      </c>
      <c r="BN4" s="27">
        <f>BN3</f>
        <v>20</v>
      </c>
      <c r="BO4" s="92" t="s">
        <v>276</v>
      </c>
      <c r="BP4" s="1"/>
      <c r="BQ4" s="1">
        <f t="shared" ref="BQ4:BQ11" si="9">BN4*0.01*BL4</f>
        <v>160</v>
      </c>
      <c r="BR4" s="74">
        <v>5</v>
      </c>
      <c r="BS4" s="74">
        <v>1</v>
      </c>
      <c r="BT4" s="92" t="s">
        <v>274</v>
      </c>
      <c r="BU4" s="27">
        <f t="shared" ref="BU4:BV10" si="10">BM4*BK4*0.01</f>
        <v>40</v>
      </c>
      <c r="BW4" s="74">
        <v>5</v>
      </c>
      <c r="BX4" s="74">
        <v>1</v>
      </c>
      <c r="BY4" s="92" t="s">
        <v>108</v>
      </c>
      <c r="BZ4" s="27">
        <f t="shared" ref="BZ4" si="11">BM4*BK4*0.01</f>
        <v>40</v>
      </c>
      <c r="CB4" s="74">
        <v>5</v>
      </c>
      <c r="CC4" s="74">
        <v>1</v>
      </c>
      <c r="CD4" s="92" t="s">
        <v>367</v>
      </c>
      <c r="CF4" s="27">
        <f t="shared" ref="CE4:CF11" si="12">BN4*BL4*0.01</f>
        <v>160</v>
      </c>
      <c r="CG4" s="74">
        <v>5</v>
      </c>
      <c r="CH4" s="74">
        <v>1</v>
      </c>
      <c r="CJ4" s="59">
        <f>Numbers!HA4</f>
        <v>0</v>
      </c>
      <c r="CK4" s="59">
        <f>Numbers!AT4</f>
        <v>0</v>
      </c>
      <c r="CL4" s="27">
        <f>Numbers!HP4</f>
        <v>0</v>
      </c>
      <c r="CM4" s="27">
        <f>Numbers!HR4</f>
        <v>0</v>
      </c>
      <c r="DB4" s="59">
        <f>Numbers!GJ4</f>
        <v>0</v>
      </c>
      <c r="DC4" s="59">
        <f>Numbers!AR4</f>
        <v>0</v>
      </c>
      <c r="DD4" s="27">
        <f>Numbers!GY4</f>
        <v>0</v>
      </c>
      <c r="DL4" s="27">
        <f>Numbers!ND4</f>
        <v>1</v>
      </c>
      <c r="DM4" s="27">
        <f>Numbers!BP4</f>
        <v>1</v>
      </c>
      <c r="DN4" s="27">
        <f>Numbers!NQ4</f>
        <v>40</v>
      </c>
      <c r="DO4" s="27">
        <v>20</v>
      </c>
      <c r="DP4" s="92" t="s">
        <v>281</v>
      </c>
      <c r="DQ4" s="27">
        <f>DO4*0.01*DN4</f>
        <v>8</v>
      </c>
      <c r="DR4" s="74">
        <v>5</v>
      </c>
      <c r="DS4" s="74">
        <v>1</v>
      </c>
      <c r="DT4" s="92" t="s">
        <v>99</v>
      </c>
      <c r="DU4" s="27">
        <f>DO4*0.01*DN4</f>
        <v>8</v>
      </c>
      <c r="DV4" s="27">
        <v>5</v>
      </c>
      <c r="DW4" s="27">
        <v>1</v>
      </c>
      <c r="DX4" s="92" t="s">
        <v>333</v>
      </c>
      <c r="DY4" s="27">
        <f>DO4*0.01*DN4</f>
        <v>8</v>
      </c>
      <c r="DZ4" s="27">
        <v>5</v>
      </c>
      <c r="EA4" s="27">
        <v>1</v>
      </c>
    </row>
    <row r="5" spans="1:131" ht="16">
      <c r="A5" s="59">
        <f>Numbers!DN5</f>
        <v>3</v>
      </c>
      <c r="B5" s="59">
        <f>Numbers!AJ5</f>
        <v>1</v>
      </c>
      <c r="C5" s="27">
        <f>Numbers!EC5</f>
        <v>4800</v>
      </c>
      <c r="D5" s="92">
        <f t="shared" ref="D5:D11" si="13">D4</f>
        <v>20</v>
      </c>
      <c r="E5" s="92" t="s">
        <v>280</v>
      </c>
      <c r="F5" s="1">
        <f t="shared" si="0"/>
        <v>960</v>
      </c>
      <c r="G5" s="74">
        <v>5</v>
      </c>
      <c r="H5" s="74">
        <v>1</v>
      </c>
      <c r="I5" s="92" t="s">
        <v>318</v>
      </c>
      <c r="J5" s="1">
        <f t="shared" si="1"/>
        <v>960</v>
      </c>
      <c r="K5" s="74">
        <v>5</v>
      </c>
      <c r="L5" s="74">
        <v>1</v>
      </c>
      <c r="M5" s="92" t="s">
        <v>361</v>
      </c>
      <c r="N5" s="1">
        <f t="shared" si="2"/>
        <v>960</v>
      </c>
      <c r="O5" s="74">
        <v>5</v>
      </c>
      <c r="P5" s="74">
        <v>1</v>
      </c>
      <c r="Q5" s="3"/>
      <c r="S5" s="59">
        <f>Numbers!EE5</f>
        <v>3</v>
      </c>
      <c r="T5" s="59">
        <f>Numbers!AL5</f>
        <v>2</v>
      </c>
      <c r="U5" s="27">
        <f>Numbers!ET5</f>
        <v>400</v>
      </c>
      <c r="V5" s="27">
        <f>Numbers!EV5</f>
        <v>1600</v>
      </c>
      <c r="W5" s="27">
        <f t="shared" ref="W5:W11" si="14">W4</f>
        <v>20</v>
      </c>
      <c r="X5" s="27">
        <f t="shared" ref="X5:X11" si="15">X4</f>
        <v>20</v>
      </c>
      <c r="Y5" s="92" t="s">
        <v>282</v>
      </c>
      <c r="Z5" s="1">
        <f t="shared" ref="Z5:Z11" si="16">W5*0.01*U5</f>
        <v>80</v>
      </c>
      <c r="AA5" s="1"/>
      <c r="AB5" s="74">
        <v>5</v>
      </c>
      <c r="AC5" s="74">
        <v>1</v>
      </c>
      <c r="AD5" s="92" t="s">
        <v>283</v>
      </c>
      <c r="AE5" s="27">
        <f t="shared" ref="AE5:AE11" si="17">W5*U5*0.01</f>
        <v>80</v>
      </c>
      <c r="AG5" s="74">
        <v>5</v>
      </c>
      <c r="AH5" s="74">
        <v>1</v>
      </c>
      <c r="AI5" s="92" t="s">
        <v>347</v>
      </c>
      <c r="AK5" s="27">
        <f t="shared" si="5"/>
        <v>320</v>
      </c>
      <c r="AL5" s="74">
        <v>5</v>
      </c>
      <c r="AM5" s="74">
        <v>1</v>
      </c>
      <c r="AN5" s="92" t="s">
        <v>339</v>
      </c>
      <c r="AP5" s="27">
        <f t="shared" si="6"/>
        <v>320</v>
      </c>
      <c r="AQ5" s="74">
        <v>5</v>
      </c>
      <c r="AR5" s="74">
        <v>1</v>
      </c>
      <c r="AV5" s="59">
        <f>Numbers!EY5</f>
        <v>3</v>
      </c>
      <c r="AW5" s="59">
        <f>Numbers!AN5</f>
        <v>1</v>
      </c>
      <c r="AX5" s="27">
        <f>Numbers!FN5</f>
        <v>4800</v>
      </c>
      <c r="AY5" s="92">
        <f t="shared" ref="AY5:AY11" si="18">AY4</f>
        <v>20</v>
      </c>
      <c r="AZ5" s="92" t="s">
        <v>285</v>
      </c>
      <c r="BA5" s="27">
        <f t="shared" si="7"/>
        <v>960</v>
      </c>
      <c r="BB5" s="74">
        <v>5</v>
      </c>
      <c r="BC5" s="74">
        <v>1</v>
      </c>
      <c r="BD5" s="92" t="s">
        <v>313</v>
      </c>
      <c r="BE5" s="27">
        <f t="shared" si="8"/>
        <v>960</v>
      </c>
      <c r="BF5" s="74">
        <v>5</v>
      </c>
      <c r="BG5" s="74">
        <v>1</v>
      </c>
      <c r="BI5" s="59">
        <f>Numbers!FP5</f>
        <v>3</v>
      </c>
      <c r="BJ5" s="59">
        <f>Numbers!AP5</f>
        <v>2</v>
      </c>
      <c r="BK5" s="27">
        <f>Numbers!GE5</f>
        <v>400</v>
      </c>
      <c r="BL5" s="27">
        <f>Numbers!GG5</f>
        <v>1600</v>
      </c>
      <c r="BM5" s="27">
        <f t="shared" ref="BM5:BM6" si="19">BM4</f>
        <v>20</v>
      </c>
      <c r="BN5" s="27">
        <f t="shared" ref="BN5:BN6" si="20">BN4</f>
        <v>20</v>
      </c>
      <c r="BO5" s="92" t="s">
        <v>286</v>
      </c>
      <c r="BP5" s="1">
        <f t="shared" ref="BP5:BP10" si="21">BM5*0.01*BK5</f>
        <v>80</v>
      </c>
      <c r="BQ5" s="1"/>
      <c r="BR5" s="74">
        <v>5</v>
      </c>
      <c r="BS5" s="74">
        <v>1</v>
      </c>
      <c r="BT5" s="92" t="s">
        <v>287</v>
      </c>
      <c r="BU5" s="27">
        <f t="shared" si="10"/>
        <v>80</v>
      </c>
      <c r="BW5" s="74">
        <v>5</v>
      </c>
      <c r="BX5" s="74">
        <v>1</v>
      </c>
      <c r="BY5" s="92" t="s">
        <v>301</v>
      </c>
      <c r="CA5" s="27">
        <f t="shared" ref="CA5" si="22">BN5*BL5*0.01</f>
        <v>320</v>
      </c>
      <c r="CB5" s="74">
        <v>5</v>
      </c>
      <c r="CC5" s="74">
        <v>1</v>
      </c>
      <c r="CD5" s="92" t="s">
        <v>368</v>
      </c>
      <c r="CF5" s="27">
        <f t="shared" si="12"/>
        <v>320</v>
      </c>
      <c r="CG5" s="74">
        <v>5</v>
      </c>
      <c r="CH5" s="74">
        <v>1</v>
      </c>
      <c r="CJ5" s="59">
        <f>Numbers!HA5</f>
        <v>0</v>
      </c>
      <c r="CK5" s="59">
        <f>Numbers!AT5</f>
        <v>0</v>
      </c>
      <c r="CL5" s="27">
        <f>Numbers!HP5</f>
        <v>0</v>
      </c>
      <c r="CM5" s="27">
        <f>Numbers!HR5</f>
        <v>0</v>
      </c>
      <c r="DB5" s="59">
        <f>Numbers!GJ5</f>
        <v>0</v>
      </c>
      <c r="DC5" s="59">
        <f>Numbers!AR5</f>
        <v>0</v>
      </c>
      <c r="DD5" s="27">
        <f>Numbers!GY5</f>
        <v>0</v>
      </c>
      <c r="DL5" s="27">
        <f>Numbers!ND5</f>
        <v>2</v>
      </c>
      <c r="DM5" s="27">
        <f>Numbers!BP5</f>
        <v>1</v>
      </c>
      <c r="DN5" s="27">
        <f>Numbers!NQ5</f>
        <v>80</v>
      </c>
      <c r="DO5" s="27">
        <f>DO4</f>
        <v>20</v>
      </c>
      <c r="DP5" s="92" t="s">
        <v>293</v>
      </c>
      <c r="DQ5" s="27">
        <f t="shared" ref="DQ5:DQ10" si="23">DO5*0.01*DN5</f>
        <v>16</v>
      </c>
      <c r="DR5" s="74">
        <v>5</v>
      </c>
      <c r="DS5" s="74">
        <v>1</v>
      </c>
      <c r="DT5" s="92" t="s">
        <v>294</v>
      </c>
      <c r="DU5" s="27">
        <f t="shared" ref="DU5:DU8" si="24">DO5*0.01*DN5</f>
        <v>16</v>
      </c>
      <c r="DV5" s="27">
        <v>5</v>
      </c>
      <c r="DW5" s="27">
        <v>1</v>
      </c>
      <c r="DX5" s="92" t="s">
        <v>100</v>
      </c>
      <c r="DY5" s="27">
        <f t="shared" ref="DY5:DY11" si="25">DO5*0.01*DN5</f>
        <v>16</v>
      </c>
      <c r="DZ5" s="27">
        <v>5</v>
      </c>
      <c r="EA5" s="27">
        <v>1</v>
      </c>
    </row>
    <row r="6" spans="1:131" ht="16">
      <c r="A6" s="59">
        <f>Numbers!DN6</f>
        <v>4</v>
      </c>
      <c r="B6" s="59">
        <f>Numbers!AJ6</f>
        <v>1</v>
      </c>
      <c r="C6" s="27">
        <f>Numbers!EC6</f>
        <v>9600</v>
      </c>
      <c r="D6" s="92">
        <f t="shared" si="13"/>
        <v>20</v>
      </c>
      <c r="E6" s="92" t="s">
        <v>288</v>
      </c>
      <c r="F6" s="1">
        <f t="shared" si="0"/>
        <v>1920</v>
      </c>
      <c r="G6" s="74">
        <v>5</v>
      </c>
      <c r="H6" s="74">
        <v>1</v>
      </c>
      <c r="I6" s="92" t="s">
        <v>319</v>
      </c>
      <c r="J6" s="1">
        <f t="shared" si="1"/>
        <v>1920</v>
      </c>
      <c r="K6" s="74">
        <v>5</v>
      </c>
      <c r="L6" s="74">
        <v>1</v>
      </c>
      <c r="M6" s="92" t="s">
        <v>362</v>
      </c>
      <c r="N6" s="1">
        <f t="shared" si="2"/>
        <v>1920</v>
      </c>
      <c r="O6" s="74">
        <v>5</v>
      </c>
      <c r="P6" s="74">
        <v>1</v>
      </c>
      <c r="Q6" s="3"/>
      <c r="S6" s="59">
        <f>Numbers!EE6</f>
        <v>4</v>
      </c>
      <c r="T6" s="59">
        <f>Numbers!AL6</f>
        <v>2</v>
      </c>
      <c r="U6" s="27">
        <f>Numbers!ET6</f>
        <v>800</v>
      </c>
      <c r="V6" s="27">
        <f>Numbers!EV6</f>
        <v>3200</v>
      </c>
      <c r="W6" s="27">
        <f t="shared" si="14"/>
        <v>20</v>
      </c>
      <c r="X6" s="27">
        <f t="shared" si="15"/>
        <v>20</v>
      </c>
      <c r="Y6" s="92" t="s">
        <v>289</v>
      </c>
      <c r="Z6" s="1"/>
      <c r="AA6" s="1">
        <f t="shared" si="3"/>
        <v>640</v>
      </c>
      <c r="AB6" s="74">
        <v>5</v>
      </c>
      <c r="AC6" s="74">
        <v>1</v>
      </c>
      <c r="AD6" s="92" t="s">
        <v>290</v>
      </c>
      <c r="AE6" s="27">
        <f t="shared" si="17"/>
        <v>160</v>
      </c>
      <c r="AG6" s="74">
        <v>5</v>
      </c>
      <c r="AH6" s="74">
        <v>1</v>
      </c>
      <c r="AI6" s="94" t="s">
        <v>378</v>
      </c>
      <c r="AK6" s="27">
        <f t="shared" si="5"/>
        <v>640</v>
      </c>
      <c r="AL6" s="74">
        <v>5</v>
      </c>
      <c r="AM6" s="74">
        <v>1</v>
      </c>
      <c r="AN6" s="92" t="s">
        <v>340</v>
      </c>
      <c r="AO6" s="27">
        <f t="shared" ref="AO6:AO10" si="26">W6*U6*0.01</f>
        <v>160</v>
      </c>
      <c r="AQ6" s="74">
        <v>5</v>
      </c>
      <c r="AR6" s="74">
        <v>1</v>
      </c>
      <c r="AV6" s="59">
        <f>Numbers!EY6</f>
        <v>4</v>
      </c>
      <c r="AW6" s="59">
        <f>Numbers!AN6</f>
        <v>1</v>
      </c>
      <c r="AX6" s="27">
        <f>Numbers!FN6</f>
        <v>9600</v>
      </c>
      <c r="AY6" s="92">
        <f t="shared" si="18"/>
        <v>20</v>
      </c>
      <c r="AZ6" s="92" t="s">
        <v>305</v>
      </c>
      <c r="BA6" s="27">
        <f>AY7*0.01*AX7</f>
        <v>1920</v>
      </c>
      <c r="BB6" s="74">
        <v>5</v>
      </c>
      <c r="BC6" s="74">
        <v>1</v>
      </c>
      <c r="BD6" s="92" t="s">
        <v>314</v>
      </c>
      <c r="BE6" s="27">
        <f t="shared" si="8"/>
        <v>1920</v>
      </c>
      <c r="BF6" s="74">
        <v>5</v>
      </c>
      <c r="BG6" s="74">
        <v>1</v>
      </c>
      <c r="BI6" s="59">
        <f>Numbers!FP6</f>
        <v>4</v>
      </c>
      <c r="BJ6" s="59">
        <f>Numbers!AP6</f>
        <v>2</v>
      </c>
      <c r="BK6" s="27">
        <f>Numbers!GE6</f>
        <v>800</v>
      </c>
      <c r="BL6" s="27">
        <f>Numbers!GG6</f>
        <v>3200</v>
      </c>
      <c r="BM6" s="27">
        <f t="shared" si="19"/>
        <v>20</v>
      </c>
      <c r="BN6" s="27">
        <f t="shared" si="20"/>
        <v>20</v>
      </c>
      <c r="BO6" s="92" t="s">
        <v>270</v>
      </c>
      <c r="BP6" s="1">
        <f t="shared" si="21"/>
        <v>160</v>
      </c>
      <c r="BQ6" s="1"/>
      <c r="BR6" s="74">
        <v>5</v>
      </c>
      <c r="BS6" s="74">
        <v>1</v>
      </c>
      <c r="BT6" s="92" t="s">
        <v>307</v>
      </c>
      <c r="BV6" s="27">
        <f t="shared" si="10"/>
        <v>640</v>
      </c>
      <c r="BW6" s="74">
        <v>5</v>
      </c>
      <c r="BX6" s="74">
        <v>1</v>
      </c>
      <c r="BY6" s="92" t="s">
        <v>330</v>
      </c>
      <c r="CA6" s="27">
        <f>BN7*BL7*0.01</f>
        <v>640</v>
      </c>
      <c r="CB6" s="74">
        <v>5</v>
      </c>
      <c r="CC6" s="74">
        <v>1</v>
      </c>
      <c r="CD6" s="92" t="s">
        <v>369</v>
      </c>
      <c r="CF6" s="27">
        <f t="shared" si="12"/>
        <v>640</v>
      </c>
      <c r="CG6" s="74">
        <v>5</v>
      </c>
      <c r="CH6" s="74">
        <v>1</v>
      </c>
      <c r="CJ6" s="59">
        <f>Numbers!HA6</f>
        <v>0</v>
      </c>
      <c r="CK6" s="59">
        <f>Numbers!AT6</f>
        <v>0</v>
      </c>
      <c r="CL6" s="27">
        <f>Numbers!HP6</f>
        <v>0</v>
      </c>
      <c r="CM6" s="27">
        <f>Numbers!HR6</f>
        <v>0</v>
      </c>
      <c r="DB6" s="59">
        <f>Numbers!GJ6</f>
        <v>0</v>
      </c>
      <c r="DC6" s="59">
        <f>Numbers!AR6</f>
        <v>0</v>
      </c>
      <c r="DD6" s="27">
        <f>Numbers!GY6</f>
        <v>0</v>
      </c>
      <c r="DL6" s="27">
        <f>Numbers!ND6</f>
        <v>3</v>
      </c>
      <c r="DM6" s="27">
        <f>Numbers!BP6</f>
        <v>2</v>
      </c>
      <c r="DN6" s="27">
        <f>Numbers!NQ6</f>
        <v>160</v>
      </c>
      <c r="DO6" s="27">
        <f t="shared" ref="DO6:DO11" si="27">DO5</f>
        <v>20</v>
      </c>
      <c r="DP6" s="92" t="s">
        <v>309</v>
      </c>
      <c r="DQ6" s="27">
        <f t="shared" si="23"/>
        <v>32</v>
      </c>
      <c r="DR6" s="74">
        <v>5</v>
      </c>
      <c r="DS6" s="74">
        <v>1</v>
      </c>
      <c r="DT6" s="92" t="s">
        <v>332</v>
      </c>
      <c r="DU6" s="27">
        <f t="shared" si="24"/>
        <v>32</v>
      </c>
      <c r="DV6" s="27">
        <v>5</v>
      </c>
      <c r="DW6" s="27">
        <v>1</v>
      </c>
      <c r="DX6" s="92" t="s">
        <v>334</v>
      </c>
      <c r="DY6" s="27">
        <f t="shared" si="25"/>
        <v>32</v>
      </c>
      <c r="DZ6" s="27">
        <v>5</v>
      </c>
      <c r="EA6" s="27">
        <v>1</v>
      </c>
    </row>
    <row r="7" spans="1:131" ht="16">
      <c r="A7" s="59">
        <f>Numbers!DN7</f>
        <v>5</v>
      </c>
      <c r="B7" s="59">
        <f>Numbers!AJ7</f>
        <v>1</v>
      </c>
      <c r="C7" s="27">
        <f>Numbers!EC7</f>
        <v>19200</v>
      </c>
      <c r="D7" s="92">
        <v>10</v>
      </c>
      <c r="E7" s="92" t="s">
        <v>107</v>
      </c>
      <c r="F7" s="1">
        <f t="shared" si="0"/>
        <v>1920</v>
      </c>
      <c r="G7" s="74">
        <v>5</v>
      </c>
      <c r="H7" s="74">
        <v>1</v>
      </c>
      <c r="I7" s="92" t="s">
        <v>321</v>
      </c>
      <c r="J7" s="1">
        <f t="shared" si="1"/>
        <v>1920</v>
      </c>
      <c r="K7" s="74">
        <v>5</v>
      </c>
      <c r="L7" s="74">
        <v>1</v>
      </c>
      <c r="M7" s="92" t="s">
        <v>363</v>
      </c>
      <c r="N7" s="1">
        <f t="shared" si="2"/>
        <v>1920</v>
      </c>
      <c r="O7" s="74">
        <v>5</v>
      </c>
      <c r="P7" s="74">
        <v>1</v>
      </c>
      <c r="Q7" s="3"/>
      <c r="S7" s="59">
        <f>Numbers!EE7</f>
        <v>5</v>
      </c>
      <c r="T7" s="59">
        <f>Numbers!AL7</f>
        <v>3</v>
      </c>
      <c r="U7" s="27">
        <f>Numbers!ET7</f>
        <v>1200</v>
      </c>
      <c r="V7" s="27">
        <f>Numbers!EV7</f>
        <v>6400</v>
      </c>
      <c r="W7" s="27">
        <v>10</v>
      </c>
      <c r="X7" s="27">
        <v>10</v>
      </c>
      <c r="Y7" s="92" t="s">
        <v>302</v>
      </c>
      <c r="Z7" s="1"/>
      <c r="AA7" s="1">
        <f t="shared" si="3"/>
        <v>640</v>
      </c>
      <c r="AB7" s="74">
        <v>5</v>
      </c>
      <c r="AC7" s="74">
        <v>1</v>
      </c>
      <c r="AD7" s="92" t="s">
        <v>303</v>
      </c>
      <c r="AF7" s="27">
        <f t="shared" si="4"/>
        <v>640</v>
      </c>
      <c r="AG7" s="74">
        <v>5</v>
      </c>
      <c r="AH7" s="74">
        <v>1</v>
      </c>
      <c r="AI7" s="94" t="s">
        <v>398</v>
      </c>
      <c r="AJ7" s="27">
        <f t="shared" si="5"/>
        <v>120</v>
      </c>
      <c r="AL7" s="74">
        <v>5</v>
      </c>
      <c r="AM7" s="74">
        <v>1</v>
      </c>
      <c r="AN7" s="92" t="s">
        <v>341</v>
      </c>
      <c r="AP7" s="27">
        <f t="shared" si="6"/>
        <v>640</v>
      </c>
      <c r="AQ7" s="74">
        <v>5</v>
      </c>
      <c r="AR7" s="74">
        <v>1</v>
      </c>
      <c r="AV7" s="59">
        <f>Numbers!EY7</f>
        <v>5</v>
      </c>
      <c r="AW7" s="59">
        <f>Numbers!AN7</f>
        <v>1</v>
      </c>
      <c r="AX7" s="27">
        <f>Numbers!FN7</f>
        <v>19200</v>
      </c>
      <c r="AY7" s="92">
        <v>10</v>
      </c>
      <c r="AZ7" s="92" t="s">
        <v>349</v>
      </c>
      <c r="BA7" s="27">
        <f>AY8*0.01*AX8</f>
        <v>3840</v>
      </c>
      <c r="BB7" s="74">
        <v>5</v>
      </c>
      <c r="BC7" s="74">
        <v>1</v>
      </c>
      <c r="BD7" s="92" t="s">
        <v>315</v>
      </c>
      <c r="BE7" s="27">
        <f t="shared" si="8"/>
        <v>1920</v>
      </c>
      <c r="BF7" s="74">
        <v>5</v>
      </c>
      <c r="BG7" s="74">
        <v>1</v>
      </c>
      <c r="BI7" s="59">
        <f>Numbers!FP7</f>
        <v>5</v>
      </c>
      <c r="BJ7" s="59">
        <f>Numbers!AP7</f>
        <v>3</v>
      </c>
      <c r="BK7" s="27">
        <f>Numbers!GE7</f>
        <v>1200</v>
      </c>
      <c r="BL7" s="27">
        <f>Numbers!GG7</f>
        <v>6400</v>
      </c>
      <c r="BM7" s="27">
        <v>10</v>
      </c>
      <c r="BN7" s="27">
        <v>10</v>
      </c>
      <c r="BO7" s="92" t="s">
        <v>306</v>
      </c>
      <c r="BP7" s="1"/>
      <c r="BQ7" s="1">
        <f t="shared" si="9"/>
        <v>640</v>
      </c>
      <c r="BR7" s="74">
        <v>5</v>
      </c>
      <c r="BS7" s="74">
        <v>1</v>
      </c>
      <c r="BT7" s="92" t="s">
        <v>329</v>
      </c>
      <c r="BV7" s="27">
        <f t="shared" si="10"/>
        <v>640</v>
      </c>
      <c r="BW7" s="74">
        <v>5</v>
      </c>
      <c r="BX7" s="74">
        <v>1</v>
      </c>
      <c r="BY7" s="92" t="s">
        <v>353</v>
      </c>
      <c r="BZ7" s="27">
        <f>BM8*BK8*0.01</f>
        <v>180</v>
      </c>
      <c r="CB7" s="74">
        <v>5</v>
      </c>
      <c r="CC7" s="74">
        <v>1</v>
      </c>
      <c r="CD7" s="92" t="s">
        <v>104</v>
      </c>
      <c r="CF7" s="27">
        <f t="shared" si="12"/>
        <v>640</v>
      </c>
      <c r="CG7" s="74">
        <v>5</v>
      </c>
      <c r="CH7" s="74">
        <v>1</v>
      </c>
      <c r="CJ7" s="59">
        <f>Numbers!HA7</f>
        <v>0</v>
      </c>
      <c r="CK7" s="59">
        <f>Numbers!AT7</f>
        <v>0</v>
      </c>
      <c r="CL7" s="27">
        <f>Numbers!HP7</f>
        <v>0</v>
      </c>
      <c r="CM7" s="27">
        <f>Numbers!HR7</f>
        <v>0</v>
      </c>
      <c r="DB7" s="59">
        <f>Numbers!GJ7</f>
        <v>0</v>
      </c>
      <c r="DC7" s="59">
        <f>Numbers!AR7</f>
        <v>0</v>
      </c>
      <c r="DD7" s="27">
        <f>Numbers!GY7</f>
        <v>0</v>
      </c>
      <c r="DL7" s="27">
        <f>Numbers!ND7</f>
        <v>4</v>
      </c>
      <c r="DM7" s="27">
        <f>Numbers!BP7</f>
        <v>2</v>
      </c>
      <c r="DN7" s="27">
        <f>Numbers!NQ7</f>
        <v>320</v>
      </c>
      <c r="DO7" s="27">
        <f t="shared" si="27"/>
        <v>20</v>
      </c>
      <c r="DP7" s="92" t="s">
        <v>331</v>
      </c>
      <c r="DQ7" s="27">
        <f t="shared" si="23"/>
        <v>64</v>
      </c>
      <c r="DR7" s="74">
        <v>5</v>
      </c>
      <c r="DS7" s="74">
        <v>1</v>
      </c>
      <c r="DT7" s="94" t="s">
        <v>389</v>
      </c>
      <c r="DU7" s="27">
        <f t="shared" si="24"/>
        <v>64</v>
      </c>
      <c r="DV7" s="27">
        <v>5</v>
      </c>
      <c r="DW7" s="27">
        <v>1</v>
      </c>
      <c r="DX7" s="92" t="s">
        <v>335</v>
      </c>
      <c r="DY7" s="27">
        <f t="shared" si="25"/>
        <v>64</v>
      </c>
      <c r="DZ7" s="27">
        <v>5</v>
      </c>
      <c r="EA7" s="27">
        <v>1</v>
      </c>
    </row>
    <row r="8" spans="1:131" ht="16">
      <c r="A8" s="59">
        <f>Numbers!DN8</f>
        <v>6</v>
      </c>
      <c r="B8" s="59">
        <f>Numbers!AJ8</f>
        <v>2</v>
      </c>
      <c r="C8" s="27">
        <f>Numbers!EC8</f>
        <v>38400</v>
      </c>
      <c r="D8" s="92">
        <f t="shared" si="13"/>
        <v>10</v>
      </c>
      <c r="E8" s="92" t="s">
        <v>320</v>
      </c>
      <c r="F8" s="1">
        <f t="shared" si="0"/>
        <v>3840</v>
      </c>
      <c r="G8" s="74">
        <v>5</v>
      </c>
      <c r="H8" s="74">
        <v>1</v>
      </c>
      <c r="I8" s="92" t="s">
        <v>322</v>
      </c>
      <c r="J8" s="1">
        <f t="shared" si="1"/>
        <v>3840</v>
      </c>
      <c r="K8" s="74">
        <v>5</v>
      </c>
      <c r="L8" s="74">
        <v>1</v>
      </c>
      <c r="M8" s="92" t="s">
        <v>364</v>
      </c>
      <c r="N8" s="1">
        <f t="shared" si="2"/>
        <v>3840</v>
      </c>
      <c r="O8" s="74">
        <v>5</v>
      </c>
      <c r="P8" s="74">
        <v>1</v>
      </c>
      <c r="Q8" s="3"/>
      <c r="S8" s="59">
        <f>Numbers!EE8</f>
        <v>6</v>
      </c>
      <c r="T8" s="59">
        <f>Numbers!AL8</f>
        <v>3</v>
      </c>
      <c r="U8" s="27">
        <f>Numbers!ET8</f>
        <v>1800</v>
      </c>
      <c r="V8" s="27">
        <f>Numbers!EV8</f>
        <v>12800</v>
      </c>
      <c r="W8" s="27">
        <f t="shared" si="14"/>
        <v>10</v>
      </c>
      <c r="X8" s="27">
        <f t="shared" si="15"/>
        <v>10</v>
      </c>
      <c r="Y8" s="92" t="s">
        <v>323</v>
      </c>
      <c r="Z8" s="1">
        <f t="shared" si="16"/>
        <v>180</v>
      </c>
      <c r="AA8" s="1"/>
      <c r="AB8" s="74">
        <v>5</v>
      </c>
      <c r="AC8" s="74">
        <v>1</v>
      </c>
      <c r="AD8" s="92" t="s">
        <v>324</v>
      </c>
      <c r="AF8" s="27">
        <f t="shared" si="4"/>
        <v>1280</v>
      </c>
      <c r="AG8" s="74">
        <v>5</v>
      </c>
      <c r="AH8" s="74">
        <v>1</v>
      </c>
      <c r="AL8" s="74"/>
      <c r="AM8" s="74"/>
      <c r="AN8" s="92" t="s">
        <v>342</v>
      </c>
      <c r="AO8" s="27">
        <f t="shared" si="26"/>
        <v>180</v>
      </c>
      <c r="AQ8" s="74">
        <v>5</v>
      </c>
      <c r="AR8" s="74">
        <v>1</v>
      </c>
      <c r="AV8" s="59">
        <f>Numbers!EY8</f>
        <v>6</v>
      </c>
      <c r="AW8" s="59">
        <f>Numbers!AN8</f>
        <v>2</v>
      </c>
      <c r="AX8" s="27">
        <f>Numbers!FN8</f>
        <v>38400</v>
      </c>
      <c r="AY8" s="92">
        <f t="shared" si="18"/>
        <v>10</v>
      </c>
      <c r="AZ8" s="94" t="s">
        <v>380</v>
      </c>
      <c r="BA8" s="27">
        <f>AY9*0.01*AX9</f>
        <v>7680</v>
      </c>
      <c r="BB8" s="74">
        <v>5</v>
      </c>
      <c r="BC8" s="74">
        <v>1</v>
      </c>
      <c r="BD8" s="92" t="s">
        <v>327</v>
      </c>
      <c r="BE8" s="27">
        <f t="shared" si="8"/>
        <v>3840</v>
      </c>
      <c r="BF8" s="74">
        <v>5</v>
      </c>
      <c r="BG8" s="74">
        <v>1</v>
      </c>
      <c r="BI8" s="59">
        <f>Numbers!FP8</f>
        <v>6</v>
      </c>
      <c r="BJ8" s="59">
        <f>Numbers!AP8</f>
        <v>3</v>
      </c>
      <c r="BK8" s="27">
        <f>Numbers!GE8</f>
        <v>1800</v>
      </c>
      <c r="BL8" s="27">
        <f>Numbers!GG8</f>
        <v>12800</v>
      </c>
      <c r="BM8" s="27">
        <f t="shared" ref="BM8:BM11" si="28">BM7</f>
        <v>10</v>
      </c>
      <c r="BN8" s="27">
        <f t="shared" ref="BN8:BN11" si="29">BN7</f>
        <v>10</v>
      </c>
      <c r="BO8" s="92" t="s">
        <v>328</v>
      </c>
      <c r="BP8" s="1"/>
      <c r="BQ8" s="1">
        <f t="shared" si="9"/>
        <v>1280</v>
      </c>
      <c r="BR8" s="74">
        <v>5</v>
      </c>
      <c r="BS8" s="74">
        <v>1</v>
      </c>
      <c r="BT8" s="92" t="s">
        <v>352</v>
      </c>
      <c r="BV8" s="27">
        <f t="shared" si="10"/>
        <v>1280</v>
      </c>
      <c r="BW8" s="74">
        <v>5</v>
      </c>
      <c r="BX8" s="74">
        <v>1</v>
      </c>
      <c r="BY8" s="94" t="s">
        <v>384</v>
      </c>
      <c r="CA8" s="27">
        <f>BN9*BL9*0.01</f>
        <v>2560</v>
      </c>
      <c r="CB8" s="74">
        <v>5</v>
      </c>
      <c r="CC8" s="74">
        <v>1</v>
      </c>
      <c r="CD8" s="92" t="s">
        <v>370</v>
      </c>
      <c r="CE8" s="27">
        <f t="shared" si="12"/>
        <v>180</v>
      </c>
      <c r="CG8" s="74">
        <v>5</v>
      </c>
      <c r="CH8" s="74">
        <v>1</v>
      </c>
      <c r="CJ8" s="59">
        <f>Numbers!HA8</f>
        <v>0</v>
      </c>
      <c r="CK8" s="59">
        <f>Numbers!AT8</f>
        <v>0</v>
      </c>
      <c r="CL8" s="27">
        <f>Numbers!HP8</f>
        <v>0</v>
      </c>
      <c r="CM8" s="27">
        <f>Numbers!HR8</f>
        <v>0</v>
      </c>
      <c r="DB8" s="59">
        <f>Numbers!GJ8</f>
        <v>0</v>
      </c>
      <c r="DC8" s="59">
        <f>Numbers!AR8</f>
        <v>0</v>
      </c>
      <c r="DD8" s="27">
        <f>Numbers!GY8</f>
        <v>0</v>
      </c>
      <c r="DL8" s="27">
        <f>Numbers!ND8</f>
        <v>5</v>
      </c>
      <c r="DM8" s="27">
        <f>Numbers!BP8</f>
        <v>2</v>
      </c>
      <c r="DN8" s="27">
        <f>Numbers!NQ8</f>
        <v>480</v>
      </c>
      <c r="DO8" s="27">
        <f t="shared" si="27"/>
        <v>20</v>
      </c>
      <c r="DP8" s="92" t="s">
        <v>354</v>
      </c>
      <c r="DQ8" s="27">
        <f t="shared" si="23"/>
        <v>96</v>
      </c>
      <c r="DR8" s="74">
        <v>5</v>
      </c>
      <c r="DS8" s="74">
        <v>1</v>
      </c>
      <c r="DT8" s="94" t="s">
        <v>410</v>
      </c>
      <c r="DU8" s="27">
        <f t="shared" si="24"/>
        <v>96</v>
      </c>
      <c r="DV8" s="27">
        <v>5</v>
      </c>
      <c r="DW8" s="27">
        <v>1</v>
      </c>
      <c r="DX8" s="92" t="s">
        <v>336</v>
      </c>
      <c r="DY8" s="27">
        <f t="shared" si="25"/>
        <v>96</v>
      </c>
      <c r="DZ8" s="27">
        <v>5</v>
      </c>
      <c r="EA8" s="27">
        <v>1</v>
      </c>
    </row>
    <row r="9" spans="1:131" ht="16">
      <c r="A9" s="59">
        <f>Numbers!DN9</f>
        <v>7</v>
      </c>
      <c r="B9" s="59">
        <f>Numbers!AJ9</f>
        <v>2</v>
      </c>
      <c r="C9" s="27">
        <f>Numbers!EC9</f>
        <v>76800</v>
      </c>
      <c r="D9" s="92">
        <f t="shared" si="13"/>
        <v>10</v>
      </c>
      <c r="E9" s="92" t="s">
        <v>343</v>
      </c>
      <c r="F9" s="1">
        <f t="shared" si="0"/>
        <v>7680</v>
      </c>
      <c r="G9" s="74">
        <v>5</v>
      </c>
      <c r="H9" s="74">
        <v>1</v>
      </c>
      <c r="I9" s="92" t="s">
        <v>344</v>
      </c>
      <c r="J9" s="1">
        <f t="shared" si="1"/>
        <v>7680</v>
      </c>
      <c r="K9" s="74">
        <v>5</v>
      </c>
      <c r="L9" s="74">
        <v>1</v>
      </c>
      <c r="M9" s="92" t="s">
        <v>365</v>
      </c>
      <c r="N9" s="1">
        <f t="shared" si="2"/>
        <v>7680</v>
      </c>
      <c r="O9" s="74">
        <v>5</v>
      </c>
      <c r="P9" s="74">
        <v>1</v>
      </c>
      <c r="Q9" s="3"/>
      <c r="S9" s="59">
        <f>Numbers!EE9</f>
        <v>7</v>
      </c>
      <c r="T9" s="59">
        <f>Numbers!AL9</f>
        <v>4</v>
      </c>
      <c r="U9" s="27">
        <f>Numbers!ET9</f>
        <v>2700</v>
      </c>
      <c r="V9" s="27">
        <f>Numbers!EV9</f>
        <v>25600</v>
      </c>
      <c r="W9" s="27">
        <f t="shared" si="14"/>
        <v>10</v>
      </c>
      <c r="X9" s="27">
        <f t="shared" si="15"/>
        <v>10</v>
      </c>
      <c r="Y9" s="92" t="s">
        <v>345</v>
      </c>
      <c r="Z9" s="1">
        <f t="shared" si="16"/>
        <v>270</v>
      </c>
      <c r="AA9" s="1"/>
      <c r="AB9" s="74">
        <v>5</v>
      </c>
      <c r="AC9" s="74">
        <v>1</v>
      </c>
      <c r="AD9" s="92" t="s">
        <v>346</v>
      </c>
      <c r="AE9" s="27">
        <f t="shared" si="17"/>
        <v>270</v>
      </c>
      <c r="AG9" s="74">
        <v>5</v>
      </c>
      <c r="AH9" s="74">
        <v>1</v>
      </c>
      <c r="AL9" s="74"/>
      <c r="AM9" s="74"/>
      <c r="AN9" s="92" t="s">
        <v>348</v>
      </c>
      <c r="AP9" s="27">
        <f t="shared" si="6"/>
        <v>2560</v>
      </c>
      <c r="AQ9" s="74">
        <v>5</v>
      </c>
      <c r="AR9" s="74">
        <v>1</v>
      </c>
      <c r="AV9" s="59">
        <f>Numbers!EY9</f>
        <v>7</v>
      </c>
      <c r="AW9" s="59">
        <f>Numbers!AN9</f>
        <v>2</v>
      </c>
      <c r="AX9" s="27">
        <f>Numbers!FN9</f>
        <v>76800</v>
      </c>
      <c r="AY9" s="92">
        <f t="shared" si="18"/>
        <v>10</v>
      </c>
      <c r="AZ9" s="94" t="s">
        <v>400</v>
      </c>
      <c r="BA9" s="27">
        <f>AY10*0.01*AX10</f>
        <v>13800</v>
      </c>
      <c r="BB9" s="74">
        <v>5</v>
      </c>
      <c r="BC9" s="74">
        <v>1</v>
      </c>
      <c r="BD9" s="92" t="s">
        <v>350</v>
      </c>
      <c r="BE9" s="27">
        <f t="shared" si="8"/>
        <v>7680</v>
      </c>
      <c r="BF9" s="74">
        <v>5</v>
      </c>
      <c r="BG9" s="74">
        <v>1</v>
      </c>
      <c r="BI9" s="59">
        <f>Numbers!FP9</f>
        <v>7</v>
      </c>
      <c r="BJ9" s="59">
        <f>Numbers!AP9</f>
        <v>3</v>
      </c>
      <c r="BK9" s="27">
        <f>Numbers!GE9</f>
        <v>2700</v>
      </c>
      <c r="BL9" s="27">
        <f>Numbers!GG9</f>
        <v>25600</v>
      </c>
      <c r="BM9" s="27">
        <f t="shared" si="28"/>
        <v>10</v>
      </c>
      <c r="BN9" s="27">
        <f t="shared" si="29"/>
        <v>10</v>
      </c>
      <c r="BO9" s="92" t="s">
        <v>351</v>
      </c>
      <c r="BP9" s="1">
        <f t="shared" si="21"/>
        <v>270</v>
      </c>
      <c r="BQ9" s="1"/>
      <c r="BR9" s="74">
        <v>5</v>
      </c>
      <c r="BS9" s="74">
        <v>1</v>
      </c>
      <c r="BT9" s="94" t="s">
        <v>383</v>
      </c>
      <c r="BU9" s="27">
        <f t="shared" si="10"/>
        <v>270</v>
      </c>
      <c r="BW9" s="74">
        <v>5</v>
      </c>
      <c r="BX9" s="74">
        <v>1</v>
      </c>
      <c r="BY9" s="94" t="s">
        <v>404</v>
      </c>
      <c r="BZ9" s="27">
        <f>BM10*BK10*0.01</f>
        <v>324</v>
      </c>
      <c r="CB9" s="74">
        <v>5</v>
      </c>
      <c r="CC9" s="74">
        <v>1</v>
      </c>
      <c r="CD9" s="92" t="s">
        <v>371</v>
      </c>
      <c r="CE9" s="27">
        <f t="shared" si="12"/>
        <v>270</v>
      </c>
      <c r="CG9" s="74">
        <v>5</v>
      </c>
      <c r="CH9" s="74">
        <v>1</v>
      </c>
      <c r="CJ9" s="59">
        <f>Numbers!HA9</f>
        <v>1</v>
      </c>
      <c r="CK9" s="59">
        <f>Numbers!AT9</f>
        <v>1</v>
      </c>
      <c r="CL9" s="27">
        <f>Numbers!HP9</f>
        <v>2160</v>
      </c>
      <c r="CM9" s="27">
        <f>Numbers!HR9</f>
        <v>20500</v>
      </c>
      <c r="CN9" s="27">
        <v>20</v>
      </c>
      <c r="CO9" s="27">
        <v>20</v>
      </c>
      <c r="CP9" s="92" t="s">
        <v>357</v>
      </c>
      <c r="CR9" s="27">
        <f>CO9*CM9*0.01</f>
        <v>4100</v>
      </c>
      <c r="CS9" s="74">
        <v>5</v>
      </c>
      <c r="CT9" s="74">
        <v>1</v>
      </c>
      <c r="CU9" s="94" t="s">
        <v>391</v>
      </c>
      <c r="CV9" s="27">
        <f>CN9*CL9*0.01</f>
        <v>432</v>
      </c>
      <c r="CX9" s="74">
        <v>5</v>
      </c>
      <c r="CY9" s="74">
        <v>1</v>
      </c>
      <c r="DB9" s="59">
        <f>Numbers!GJ9</f>
        <v>1</v>
      </c>
      <c r="DC9" s="59">
        <f>Numbers!AR9</f>
        <v>1</v>
      </c>
      <c r="DD9" s="27">
        <f>Numbers!GY9</f>
        <v>61500</v>
      </c>
      <c r="DE9" s="27">
        <v>10</v>
      </c>
      <c r="DF9" s="92" t="s">
        <v>358</v>
      </c>
      <c r="DG9" s="27">
        <f>DE9*0.01*DD9</f>
        <v>6150</v>
      </c>
      <c r="DH9" s="74">
        <v>5</v>
      </c>
      <c r="DI9" s="74">
        <v>1</v>
      </c>
      <c r="DL9" s="27">
        <f>Numbers!ND9</f>
        <v>6</v>
      </c>
      <c r="DM9" s="27">
        <f>Numbers!BP9</f>
        <v>3</v>
      </c>
      <c r="DN9" s="27">
        <f>Numbers!NQ9</f>
        <v>624</v>
      </c>
      <c r="DO9" s="27">
        <f t="shared" si="27"/>
        <v>20</v>
      </c>
      <c r="DP9" s="94" t="s">
        <v>388</v>
      </c>
      <c r="DQ9" s="27">
        <f t="shared" si="23"/>
        <v>124.80000000000001</v>
      </c>
      <c r="DR9" s="74">
        <v>5</v>
      </c>
      <c r="DS9" s="74">
        <v>1</v>
      </c>
      <c r="DX9" s="92" t="s">
        <v>356</v>
      </c>
      <c r="DY9" s="27">
        <f t="shared" si="25"/>
        <v>124.80000000000001</v>
      </c>
      <c r="DZ9" s="27">
        <v>5</v>
      </c>
      <c r="EA9" s="27">
        <v>1</v>
      </c>
    </row>
    <row r="10" spans="1:131" ht="16">
      <c r="A10" s="59">
        <f>Numbers!DN10</f>
        <v>8</v>
      </c>
      <c r="B10" s="59">
        <f>Numbers!AJ10</f>
        <v>3</v>
      </c>
      <c r="C10" s="27">
        <f>Numbers!EC10</f>
        <v>138000</v>
      </c>
      <c r="D10" s="92">
        <f t="shared" si="13"/>
        <v>10</v>
      </c>
      <c r="E10" s="92" t="s">
        <v>372</v>
      </c>
      <c r="F10" s="1">
        <f t="shared" si="0"/>
        <v>13800</v>
      </c>
      <c r="G10" s="74">
        <v>5</v>
      </c>
      <c r="H10" s="74">
        <v>1</v>
      </c>
      <c r="I10" s="94" t="s">
        <v>374</v>
      </c>
      <c r="J10" s="1">
        <f t="shared" si="1"/>
        <v>13800</v>
      </c>
      <c r="K10" s="74">
        <v>5</v>
      </c>
      <c r="L10" s="74">
        <v>1</v>
      </c>
      <c r="M10" s="94" t="s">
        <v>375</v>
      </c>
      <c r="N10" s="1">
        <f t="shared" si="2"/>
        <v>13800</v>
      </c>
      <c r="O10" s="74">
        <v>5</v>
      </c>
      <c r="P10" s="74">
        <v>1</v>
      </c>
      <c r="Q10" s="3"/>
      <c r="S10" s="59">
        <f>Numbers!EE10</f>
        <v>8</v>
      </c>
      <c r="T10" s="59">
        <f>Numbers!AL10</f>
        <v>4</v>
      </c>
      <c r="U10" s="27">
        <f>Numbers!ET10</f>
        <v>3240</v>
      </c>
      <c r="V10" s="27">
        <f>Numbers!EV10</f>
        <v>46100</v>
      </c>
      <c r="W10" s="27">
        <f t="shared" si="14"/>
        <v>10</v>
      </c>
      <c r="X10" s="27">
        <f t="shared" si="15"/>
        <v>10</v>
      </c>
      <c r="Y10" s="94" t="s">
        <v>376</v>
      </c>
      <c r="Z10" s="1"/>
      <c r="AA10" s="1">
        <f t="shared" si="3"/>
        <v>4610</v>
      </c>
      <c r="AB10" s="74">
        <v>5</v>
      </c>
      <c r="AC10" s="74">
        <v>1</v>
      </c>
      <c r="AD10" s="94" t="s">
        <v>377</v>
      </c>
      <c r="AF10" s="27">
        <f t="shared" si="4"/>
        <v>4610</v>
      </c>
      <c r="AG10" s="74">
        <v>5</v>
      </c>
      <c r="AH10" s="74">
        <v>1</v>
      </c>
      <c r="AL10" s="74"/>
      <c r="AM10" s="74"/>
      <c r="AN10" s="94" t="s">
        <v>379</v>
      </c>
      <c r="AO10" s="27">
        <f t="shared" si="26"/>
        <v>324</v>
      </c>
      <c r="AQ10" s="74">
        <v>5</v>
      </c>
      <c r="AR10" s="74">
        <v>1</v>
      </c>
      <c r="AV10" s="59">
        <f>Numbers!EY10</f>
        <v>8</v>
      </c>
      <c r="AW10" s="59">
        <f>Numbers!AN10</f>
        <v>2</v>
      </c>
      <c r="AX10" s="27">
        <f>Numbers!FN10</f>
        <v>138000</v>
      </c>
      <c r="AY10" s="92">
        <f t="shared" si="18"/>
        <v>10</v>
      </c>
      <c r="BB10" s="74"/>
      <c r="BC10" s="74"/>
      <c r="BD10" s="94" t="s">
        <v>381</v>
      </c>
      <c r="BE10" s="27">
        <f t="shared" si="8"/>
        <v>13800</v>
      </c>
      <c r="BF10" s="74">
        <v>5</v>
      </c>
      <c r="BG10" s="74">
        <v>1</v>
      </c>
      <c r="BI10" s="59">
        <f>Numbers!FP10</f>
        <v>8</v>
      </c>
      <c r="BJ10" s="59">
        <f>Numbers!AP10</f>
        <v>4</v>
      </c>
      <c r="BK10" s="27">
        <f>Numbers!GE10</f>
        <v>3240</v>
      </c>
      <c r="BL10" s="27">
        <f>Numbers!GG10</f>
        <v>46100</v>
      </c>
      <c r="BM10" s="27">
        <f t="shared" si="28"/>
        <v>10</v>
      </c>
      <c r="BN10" s="27">
        <f t="shared" si="29"/>
        <v>10</v>
      </c>
      <c r="BO10" s="94" t="s">
        <v>382</v>
      </c>
      <c r="BP10" s="1">
        <f t="shared" si="21"/>
        <v>324</v>
      </c>
      <c r="BQ10" s="1"/>
      <c r="BR10" s="74">
        <v>5</v>
      </c>
      <c r="BS10" s="74">
        <v>1</v>
      </c>
      <c r="BT10" s="94" t="s">
        <v>403</v>
      </c>
      <c r="BU10" s="27">
        <f t="shared" si="10"/>
        <v>324</v>
      </c>
      <c r="BW10" s="74">
        <v>5</v>
      </c>
      <c r="BX10" s="74">
        <v>1</v>
      </c>
      <c r="CD10" s="94" t="s">
        <v>385</v>
      </c>
      <c r="CE10" s="27">
        <f t="shared" si="12"/>
        <v>324</v>
      </c>
      <c r="CG10" s="74">
        <v>5</v>
      </c>
      <c r="CH10" s="74">
        <v>1</v>
      </c>
      <c r="CJ10" s="59">
        <f>Numbers!HA10</f>
        <v>2</v>
      </c>
      <c r="CK10" s="59">
        <f>Numbers!AT10</f>
        <v>1</v>
      </c>
      <c r="CL10" s="27">
        <f>Numbers!HP10</f>
        <v>2590</v>
      </c>
      <c r="CM10" s="27">
        <f>Numbers!HR10</f>
        <v>36900</v>
      </c>
      <c r="CN10" s="27">
        <f>CN9</f>
        <v>20</v>
      </c>
      <c r="CO10" s="27">
        <f>CO9</f>
        <v>20</v>
      </c>
      <c r="CP10" s="94" t="s">
        <v>386</v>
      </c>
      <c r="CQ10" s="27">
        <f t="shared" ref="CQ10:CR11" si="30">CN10*CL10*0.01</f>
        <v>518</v>
      </c>
      <c r="CS10" s="74">
        <v>5</v>
      </c>
      <c r="CT10" s="74">
        <v>1</v>
      </c>
      <c r="CU10" s="94" t="s">
        <v>392</v>
      </c>
      <c r="CW10" s="27">
        <f t="shared" ref="CV10:CW11" si="31">CO10*CM10*0.01</f>
        <v>7380</v>
      </c>
      <c r="CX10" s="74">
        <v>5</v>
      </c>
      <c r="CY10" s="74">
        <v>1</v>
      </c>
      <c r="DB10" s="59">
        <f>Numbers!GJ10</f>
        <v>2</v>
      </c>
      <c r="DC10" s="59">
        <f>Numbers!AR10</f>
        <v>1</v>
      </c>
      <c r="DD10" s="27">
        <f>Numbers!GY10</f>
        <v>111000</v>
      </c>
      <c r="DE10" s="27">
        <f>DE9</f>
        <v>10</v>
      </c>
      <c r="DF10" s="94" t="s">
        <v>387</v>
      </c>
      <c r="DG10" s="27">
        <f t="shared" ref="DG10:DG11" si="32">DE10*0.01*DD10</f>
        <v>11100</v>
      </c>
      <c r="DH10" s="74">
        <v>5</v>
      </c>
      <c r="DI10" s="74">
        <v>1</v>
      </c>
      <c r="DL10" s="27">
        <f>Numbers!ND10</f>
        <v>7</v>
      </c>
      <c r="DM10" s="27">
        <f>Numbers!BP10</f>
        <v>3</v>
      </c>
      <c r="DN10" s="27">
        <f>Numbers!NQ10</f>
        <v>748.8</v>
      </c>
      <c r="DO10" s="27">
        <f t="shared" si="27"/>
        <v>20</v>
      </c>
      <c r="DP10" s="94" t="s">
        <v>409</v>
      </c>
      <c r="DQ10" s="27">
        <f t="shared" si="23"/>
        <v>149.76</v>
      </c>
      <c r="DR10" s="74">
        <v>5</v>
      </c>
      <c r="DS10" s="74">
        <v>1</v>
      </c>
      <c r="DX10" s="94" t="s">
        <v>390</v>
      </c>
      <c r="DY10" s="27">
        <f t="shared" si="25"/>
        <v>149.76</v>
      </c>
      <c r="DZ10" s="27">
        <v>5</v>
      </c>
      <c r="EA10" s="27">
        <v>1</v>
      </c>
    </row>
    <row r="11" spans="1:131" ht="16">
      <c r="A11" s="59">
        <f>Numbers!DN11</f>
        <v>9</v>
      </c>
      <c r="B11" s="59">
        <f>Numbers!AJ11</f>
        <v>3</v>
      </c>
      <c r="C11" s="27">
        <f>Numbers!EC11</f>
        <v>249000</v>
      </c>
      <c r="D11" s="92">
        <f t="shared" si="13"/>
        <v>10</v>
      </c>
      <c r="E11" s="94" t="s">
        <v>393</v>
      </c>
      <c r="F11" s="1">
        <f t="shared" si="0"/>
        <v>24900</v>
      </c>
      <c r="G11" s="74">
        <v>5</v>
      </c>
      <c r="H11" s="74">
        <v>1</v>
      </c>
      <c r="I11" s="94" t="s">
        <v>394</v>
      </c>
      <c r="J11" s="1">
        <f t="shared" si="1"/>
        <v>24900</v>
      </c>
      <c r="K11" s="74">
        <v>5</v>
      </c>
      <c r="L11" s="74">
        <v>1</v>
      </c>
      <c r="M11" s="94" t="s">
        <v>395</v>
      </c>
      <c r="N11" s="1">
        <f t="shared" si="2"/>
        <v>24900</v>
      </c>
      <c r="O11" s="74">
        <v>5</v>
      </c>
      <c r="P11" s="74">
        <v>1</v>
      </c>
      <c r="S11" s="59">
        <f>Numbers!EE11</f>
        <v>9</v>
      </c>
      <c r="T11" s="59">
        <f>Numbers!AL11</f>
        <v>4</v>
      </c>
      <c r="U11" s="27">
        <f>Numbers!ET11</f>
        <v>3890</v>
      </c>
      <c r="V11" s="27">
        <f>Numbers!EV11</f>
        <v>83000</v>
      </c>
      <c r="W11" s="27">
        <f t="shared" si="14"/>
        <v>10</v>
      </c>
      <c r="X11" s="27">
        <f t="shared" si="15"/>
        <v>10</v>
      </c>
      <c r="Y11" s="94" t="s">
        <v>396</v>
      </c>
      <c r="Z11" s="1">
        <f t="shared" si="16"/>
        <v>389</v>
      </c>
      <c r="AA11" s="1"/>
      <c r="AB11" s="74">
        <v>5</v>
      </c>
      <c r="AC11" s="74">
        <v>1</v>
      </c>
      <c r="AD11" s="94" t="s">
        <v>397</v>
      </c>
      <c r="AE11" s="27">
        <f t="shared" si="17"/>
        <v>389</v>
      </c>
      <c r="AG11" s="74">
        <v>5</v>
      </c>
      <c r="AH11" s="74">
        <v>1</v>
      </c>
      <c r="AL11" s="74"/>
      <c r="AM11" s="74"/>
      <c r="AN11" s="94" t="s">
        <v>399</v>
      </c>
      <c r="AP11" s="27">
        <f t="shared" si="6"/>
        <v>8300</v>
      </c>
      <c r="AQ11" s="74">
        <v>5</v>
      </c>
      <c r="AR11" s="74">
        <v>1</v>
      </c>
      <c r="AV11" s="59">
        <f>Numbers!EY11</f>
        <v>9</v>
      </c>
      <c r="AW11" s="59">
        <f>Numbers!AN11</f>
        <v>2</v>
      </c>
      <c r="AX11" s="27">
        <f>Numbers!FN11</f>
        <v>249000</v>
      </c>
      <c r="AY11" s="92">
        <f t="shared" si="18"/>
        <v>10</v>
      </c>
      <c r="BD11" s="94" t="s">
        <v>401</v>
      </c>
      <c r="BE11" s="27">
        <f t="shared" si="8"/>
        <v>24900</v>
      </c>
      <c r="BF11" s="74">
        <v>5</v>
      </c>
      <c r="BG11" s="74">
        <v>1</v>
      </c>
      <c r="BI11" s="59">
        <f>Numbers!FP11</f>
        <v>9</v>
      </c>
      <c r="BJ11" s="59">
        <f>Numbers!AP11</f>
        <v>4</v>
      </c>
      <c r="BK11" s="27">
        <f>Numbers!GE11</f>
        <v>3890</v>
      </c>
      <c r="BL11" s="27">
        <f>Numbers!GG11</f>
        <v>83000</v>
      </c>
      <c r="BM11" s="27">
        <f t="shared" si="28"/>
        <v>10</v>
      </c>
      <c r="BN11" s="27">
        <f t="shared" si="29"/>
        <v>10</v>
      </c>
      <c r="BO11" s="94" t="s">
        <v>402</v>
      </c>
      <c r="BP11" s="1"/>
      <c r="BQ11" s="1">
        <f t="shared" si="9"/>
        <v>8300</v>
      </c>
      <c r="BR11" s="74">
        <v>5</v>
      </c>
      <c r="BS11" s="74">
        <v>1</v>
      </c>
      <c r="BW11" s="74"/>
      <c r="BX11" s="74"/>
      <c r="CB11" s="74"/>
      <c r="CC11" s="74"/>
      <c r="CD11" s="94" t="s">
        <v>405</v>
      </c>
      <c r="CE11" s="27">
        <f t="shared" si="12"/>
        <v>389</v>
      </c>
      <c r="CG11" s="74">
        <v>5</v>
      </c>
      <c r="CH11" s="74">
        <v>1</v>
      </c>
      <c r="CJ11" s="59">
        <f>Numbers!HA11</f>
        <v>3</v>
      </c>
      <c r="CK11" s="59">
        <f>Numbers!AT11</f>
        <v>2</v>
      </c>
      <c r="CL11" s="27">
        <f>Numbers!HP11</f>
        <v>3110</v>
      </c>
      <c r="CM11" s="27">
        <f>Numbers!HR11</f>
        <v>66400</v>
      </c>
      <c r="CN11" s="27">
        <f>CN10</f>
        <v>20</v>
      </c>
      <c r="CO11" s="27">
        <f>CO10</f>
        <v>20</v>
      </c>
      <c r="CP11" s="94" t="s">
        <v>406</v>
      </c>
      <c r="CR11" s="27">
        <f t="shared" si="30"/>
        <v>13280</v>
      </c>
      <c r="CS11" s="74">
        <v>5</v>
      </c>
      <c r="CT11" s="74">
        <v>1</v>
      </c>
      <c r="CU11" s="94" t="s">
        <v>407</v>
      </c>
      <c r="CV11" s="27">
        <f t="shared" si="31"/>
        <v>622</v>
      </c>
      <c r="CX11" s="74">
        <v>5</v>
      </c>
      <c r="CY11" s="74">
        <v>1</v>
      </c>
      <c r="DB11" s="59">
        <f>Numbers!GJ11</f>
        <v>3</v>
      </c>
      <c r="DC11" s="59">
        <f>Numbers!AR11</f>
        <v>1</v>
      </c>
      <c r="DD11" s="27">
        <f>Numbers!GY11</f>
        <v>199000</v>
      </c>
      <c r="DE11" s="27">
        <f>DE10</f>
        <v>10</v>
      </c>
      <c r="DF11" s="94" t="s">
        <v>408</v>
      </c>
      <c r="DG11" s="27">
        <f t="shared" si="32"/>
        <v>19900</v>
      </c>
      <c r="DH11" s="74">
        <v>5</v>
      </c>
      <c r="DI11" s="74">
        <v>1</v>
      </c>
      <c r="DL11" s="27">
        <f>Numbers!ND11</f>
        <v>8</v>
      </c>
      <c r="DM11" s="27">
        <f>Numbers!BP11</f>
        <v>3</v>
      </c>
      <c r="DN11" s="27">
        <f>Numbers!NQ11</f>
        <v>898.56</v>
      </c>
      <c r="DO11" s="27">
        <f t="shared" si="27"/>
        <v>20</v>
      </c>
      <c r="DR11" s="74"/>
      <c r="DS11" s="74"/>
      <c r="DX11" s="27" t="s">
        <v>441</v>
      </c>
      <c r="DY11" s="27">
        <f t="shared" si="25"/>
        <v>179.71199999999999</v>
      </c>
      <c r="DZ11" s="27">
        <v>5</v>
      </c>
      <c r="EA11" s="27">
        <v>1</v>
      </c>
    </row>
    <row r="12" spans="1:131">
      <c r="A12" s="59">
        <f>Numbers!DN12</f>
        <v>10</v>
      </c>
      <c r="B12" s="59">
        <f>Numbers!AJ12</f>
        <v>3</v>
      </c>
      <c r="C12" s="27">
        <f>Numbers!EC12</f>
        <v>447000</v>
      </c>
      <c r="S12" s="59">
        <f>Numbers!EE12</f>
        <v>10</v>
      </c>
      <c r="T12" s="59">
        <f>Numbers!AL12</f>
        <v>4</v>
      </c>
      <c r="U12" s="27">
        <f>Numbers!ET12</f>
        <v>4670</v>
      </c>
      <c r="V12" s="27">
        <f>Numbers!EV12</f>
        <v>149000</v>
      </c>
      <c r="AV12" s="59">
        <f>Numbers!EY12</f>
        <v>10</v>
      </c>
      <c r="AW12" s="59">
        <f>Numbers!AN12</f>
        <v>3</v>
      </c>
      <c r="AX12" s="27">
        <f>Numbers!FN12</f>
        <v>447000</v>
      </c>
      <c r="BI12" s="59">
        <f>Numbers!FP12</f>
        <v>10</v>
      </c>
      <c r="BJ12" s="59">
        <f>Numbers!AP12</f>
        <v>4</v>
      </c>
      <c r="BK12" s="27">
        <f>Numbers!GE12</f>
        <v>4670</v>
      </c>
      <c r="BL12" s="27">
        <f>Numbers!GG12</f>
        <v>149000</v>
      </c>
      <c r="CJ12" s="59">
        <f>Numbers!HA12</f>
        <v>4</v>
      </c>
      <c r="CK12" s="59">
        <f>Numbers!AT12</f>
        <v>2</v>
      </c>
      <c r="CL12" s="27">
        <f>Numbers!HP12</f>
        <v>3740</v>
      </c>
      <c r="CM12" s="27">
        <f>Numbers!HR12</f>
        <v>119000</v>
      </c>
      <c r="DB12" s="59">
        <f>Numbers!GJ12</f>
        <v>4</v>
      </c>
      <c r="DC12" s="59">
        <f>Numbers!AR12</f>
        <v>2</v>
      </c>
      <c r="DD12" s="27">
        <f>Numbers!GY12</f>
        <v>357000</v>
      </c>
      <c r="DL12" s="27">
        <f>Numbers!ND12</f>
        <v>9</v>
      </c>
      <c r="DM12" s="27">
        <f>Numbers!BP12</f>
        <v>4</v>
      </c>
      <c r="DN12" s="27">
        <f>Numbers!NQ12</f>
        <v>1078.2719999999999</v>
      </c>
    </row>
    <row r="13" spans="1:131">
      <c r="A13" s="59">
        <f>Numbers!DN13</f>
        <v>11</v>
      </c>
      <c r="B13" s="59">
        <f>Numbers!AJ13</f>
        <v>3</v>
      </c>
      <c r="C13" s="27">
        <f>Numbers!EC13</f>
        <v>804000</v>
      </c>
      <c r="S13" s="59">
        <f>Numbers!EE13</f>
        <v>11</v>
      </c>
      <c r="T13" s="59">
        <f>Numbers!AL13</f>
        <v>4</v>
      </c>
      <c r="U13" s="27">
        <f>Numbers!ET13</f>
        <v>5600</v>
      </c>
      <c r="V13" s="27">
        <f>Numbers!EV13</f>
        <v>268000</v>
      </c>
      <c r="AV13" s="59">
        <f>Numbers!EY13</f>
        <v>11</v>
      </c>
      <c r="AW13" s="59">
        <f>Numbers!AN13</f>
        <v>3</v>
      </c>
      <c r="AX13" s="27">
        <f>Numbers!FN13</f>
        <v>804000</v>
      </c>
      <c r="BI13" s="59">
        <f>Numbers!FP13</f>
        <v>11</v>
      </c>
      <c r="BJ13" s="59">
        <f>Numbers!AP13</f>
        <v>4</v>
      </c>
      <c r="BK13" s="27">
        <f>Numbers!GE13</f>
        <v>5600</v>
      </c>
      <c r="BL13" s="27">
        <f>Numbers!GG13</f>
        <v>268000</v>
      </c>
      <c r="CJ13" s="59">
        <f>Numbers!HA13</f>
        <v>5</v>
      </c>
      <c r="CK13" s="59">
        <f>Numbers!AT13</f>
        <v>2</v>
      </c>
      <c r="CL13" s="27">
        <f>Numbers!HP13</f>
        <v>4480</v>
      </c>
      <c r="CM13" s="27">
        <f>Numbers!HR13</f>
        <v>214000</v>
      </c>
      <c r="DB13" s="59">
        <f>Numbers!GJ13</f>
        <v>5</v>
      </c>
      <c r="DC13" s="59">
        <f>Numbers!AR13</f>
        <v>2</v>
      </c>
      <c r="DD13" s="27">
        <f>Numbers!GY13</f>
        <v>642000</v>
      </c>
      <c r="DL13" s="27">
        <f>Numbers!ND13</f>
        <v>10</v>
      </c>
      <c r="DM13" s="27">
        <f>Numbers!BP13</f>
        <v>4</v>
      </c>
      <c r="DN13" s="27">
        <f>Numbers!NQ13</f>
        <v>1293.9263999999998</v>
      </c>
    </row>
    <row r="14" spans="1:131">
      <c r="A14" s="59">
        <f>Numbers!DN14</f>
        <v>12</v>
      </c>
      <c r="B14" s="59">
        <f>Numbers!AJ14</f>
        <v>3</v>
      </c>
      <c r="C14" s="27">
        <f>Numbers!EC14</f>
        <v>1040000</v>
      </c>
      <c r="S14" s="59">
        <f>Numbers!EE14</f>
        <v>12</v>
      </c>
      <c r="T14" s="59">
        <f>Numbers!AL14</f>
        <v>4</v>
      </c>
      <c r="U14" s="27">
        <f>Numbers!ET14</f>
        <v>6720</v>
      </c>
      <c r="V14" s="27">
        <f>Numbers!EV14</f>
        <v>348000</v>
      </c>
      <c r="AV14" s="59">
        <f>Numbers!EY14</f>
        <v>12</v>
      </c>
      <c r="AW14" s="59">
        <f>Numbers!AN14</f>
        <v>3</v>
      </c>
      <c r="AX14" s="27">
        <f>Numbers!FN14</f>
        <v>1040000</v>
      </c>
      <c r="BI14" s="59">
        <f>Numbers!FP14</f>
        <v>12</v>
      </c>
      <c r="BJ14" s="59">
        <f>Numbers!AP14</f>
        <v>4</v>
      </c>
      <c r="BK14" s="27">
        <f>Numbers!GE14</f>
        <v>6720</v>
      </c>
      <c r="BL14" s="27">
        <f>Numbers!GG14</f>
        <v>348000</v>
      </c>
      <c r="CJ14" s="59">
        <f>Numbers!HA14</f>
        <v>6</v>
      </c>
      <c r="CK14" s="59">
        <f>Numbers!AT14</f>
        <v>2</v>
      </c>
      <c r="CL14" s="27">
        <f>Numbers!HP14</f>
        <v>5380</v>
      </c>
      <c r="CM14" s="27">
        <f>Numbers!HR14</f>
        <v>278000</v>
      </c>
      <c r="DB14" s="59">
        <f>Numbers!GJ14</f>
        <v>6</v>
      </c>
      <c r="DC14" s="59">
        <f>Numbers!AR14</f>
        <v>2</v>
      </c>
      <c r="DD14" s="27">
        <f>Numbers!GY14</f>
        <v>834000</v>
      </c>
      <c r="DL14" s="27">
        <f>Numbers!ND14</f>
        <v>11</v>
      </c>
      <c r="DM14" s="27">
        <f>Numbers!BP14</f>
        <v>4</v>
      </c>
      <c r="DN14" s="27">
        <f>Numbers!NQ14</f>
        <v>1682.1043199999999</v>
      </c>
    </row>
    <row r="15" spans="1:131">
      <c r="A15" s="59">
        <f>Numbers!DN15</f>
        <v>13</v>
      </c>
      <c r="B15" s="59">
        <f>Numbers!AJ15</f>
        <v>3</v>
      </c>
      <c r="C15" s="27">
        <f>Numbers!EC15</f>
        <v>1360000</v>
      </c>
      <c r="S15" s="59">
        <f>Numbers!EE15</f>
        <v>13</v>
      </c>
      <c r="T15" s="59">
        <f>Numbers!AL15</f>
        <v>4</v>
      </c>
      <c r="U15" s="27">
        <f>Numbers!ET15</f>
        <v>8060</v>
      </c>
      <c r="V15" s="27">
        <f>Numbers!EV15</f>
        <v>452000</v>
      </c>
      <c r="AV15" s="59">
        <f>Numbers!EY15</f>
        <v>13</v>
      </c>
      <c r="AW15" s="59">
        <f>Numbers!AN15</f>
        <v>3</v>
      </c>
      <c r="AX15" s="27">
        <f>Numbers!FN15</f>
        <v>1360000</v>
      </c>
      <c r="BI15" s="59">
        <f>Numbers!FP15</f>
        <v>13</v>
      </c>
      <c r="BJ15" s="59">
        <f>Numbers!AP15</f>
        <v>4</v>
      </c>
      <c r="BK15" s="27">
        <f>Numbers!GE15</f>
        <v>8060</v>
      </c>
      <c r="BL15" s="27">
        <f>Numbers!GG15</f>
        <v>452000</v>
      </c>
      <c r="CJ15" s="59">
        <f>Numbers!HA15</f>
        <v>7</v>
      </c>
      <c r="CK15" s="59">
        <f>Numbers!AT15</f>
        <v>2</v>
      </c>
      <c r="CL15" s="27">
        <f>Numbers!HP15</f>
        <v>6450</v>
      </c>
      <c r="CM15" s="27">
        <f>Numbers!HR15</f>
        <v>362000</v>
      </c>
      <c r="DB15" s="59">
        <f>Numbers!GJ15</f>
        <v>7</v>
      </c>
      <c r="DC15" s="59">
        <f>Numbers!AR15</f>
        <v>2</v>
      </c>
      <c r="DD15" s="27">
        <f>Numbers!GY15</f>
        <v>1090000</v>
      </c>
      <c r="DL15" s="27">
        <f>Numbers!ND15</f>
        <v>12</v>
      </c>
      <c r="DM15" s="27">
        <f>Numbers!BP15</f>
        <v>5</v>
      </c>
      <c r="DN15" s="27">
        <f>Numbers!NQ15</f>
        <v>2186.7356159999999</v>
      </c>
    </row>
    <row r="16" spans="1:131">
      <c r="A16" s="59">
        <f>Numbers!DN16</f>
        <v>14</v>
      </c>
      <c r="B16" s="59">
        <f>Numbers!AJ16</f>
        <v>3</v>
      </c>
      <c r="C16" s="27">
        <f>Numbers!EC16</f>
        <v>1760000</v>
      </c>
      <c r="S16" s="59">
        <f>Numbers!EE16</f>
        <v>14</v>
      </c>
      <c r="T16" s="59">
        <f>Numbers!AL16</f>
        <v>4</v>
      </c>
      <c r="U16" s="27">
        <f>Numbers!ET16</f>
        <v>9670</v>
      </c>
      <c r="V16" s="27">
        <f>Numbers!EV16</f>
        <v>588000</v>
      </c>
      <c r="AV16" s="59">
        <f>Numbers!EY16</f>
        <v>14</v>
      </c>
      <c r="AW16" s="59">
        <f>Numbers!AN16</f>
        <v>3</v>
      </c>
      <c r="AX16" s="27">
        <f>Numbers!FN16</f>
        <v>1760000</v>
      </c>
      <c r="BI16" s="59">
        <f>Numbers!FP16</f>
        <v>14</v>
      </c>
      <c r="BJ16" s="59">
        <f>Numbers!AP16</f>
        <v>4</v>
      </c>
      <c r="BK16" s="27">
        <f>Numbers!GE16</f>
        <v>9670</v>
      </c>
      <c r="BL16" s="27">
        <f>Numbers!GG16</f>
        <v>588000</v>
      </c>
      <c r="CJ16" s="59">
        <f>Numbers!HA16</f>
        <v>8</v>
      </c>
      <c r="CK16" s="59">
        <f>Numbers!AT16</f>
        <v>2</v>
      </c>
      <c r="CL16" s="27">
        <f>Numbers!HP16</f>
        <v>7740</v>
      </c>
      <c r="CM16" s="27">
        <f>Numbers!HR16</f>
        <v>470000</v>
      </c>
      <c r="DB16" s="59">
        <f>Numbers!GJ16</f>
        <v>8</v>
      </c>
      <c r="DC16" s="59">
        <f>Numbers!AR16</f>
        <v>2</v>
      </c>
      <c r="DD16" s="27">
        <f>Numbers!GY16</f>
        <v>1410000</v>
      </c>
      <c r="DL16" s="27">
        <f>Numbers!ND16</f>
        <v>13</v>
      </c>
      <c r="DM16" s="27">
        <f>Numbers!BP16</f>
        <v>5</v>
      </c>
      <c r="DN16" s="27">
        <f>Numbers!NQ16</f>
        <v>2842.7563008000002</v>
      </c>
    </row>
    <row r="17" spans="1:118" ht="16">
      <c r="A17" s="59">
        <f>Numbers!DN17</f>
        <v>15</v>
      </c>
      <c r="B17" s="59">
        <f>Numbers!AJ17</f>
        <v>3</v>
      </c>
      <c r="C17" s="27">
        <f>Numbers!EC17</f>
        <v>2290000</v>
      </c>
      <c r="S17" s="59">
        <f>Numbers!EE17</f>
        <v>15</v>
      </c>
      <c r="T17" s="59">
        <f>Numbers!AL17</f>
        <v>4</v>
      </c>
      <c r="U17" s="27">
        <f>Numbers!ET17</f>
        <v>11600</v>
      </c>
      <c r="V17" s="27">
        <f>Numbers!EV17</f>
        <v>764000</v>
      </c>
      <c r="AJ17" s="92"/>
      <c r="AV17" s="59">
        <f>Numbers!EY17</f>
        <v>15</v>
      </c>
      <c r="AW17" s="59">
        <f>Numbers!AN17</f>
        <v>3</v>
      </c>
      <c r="AX17" s="27">
        <f>Numbers!FN17</f>
        <v>2290000</v>
      </c>
      <c r="BI17" s="59">
        <f>Numbers!FP17</f>
        <v>15</v>
      </c>
      <c r="BJ17" s="59">
        <f>Numbers!AP17</f>
        <v>4</v>
      </c>
      <c r="BK17" s="27">
        <f>Numbers!GE17</f>
        <v>11600</v>
      </c>
      <c r="BL17" s="27">
        <f>Numbers!GG17</f>
        <v>764000</v>
      </c>
      <c r="CJ17" s="59">
        <f>Numbers!HA17</f>
        <v>9</v>
      </c>
      <c r="CK17" s="59">
        <f>Numbers!AT17</f>
        <v>2</v>
      </c>
      <c r="CL17" s="27">
        <f>Numbers!HP17</f>
        <v>9280</v>
      </c>
      <c r="CM17" s="27">
        <f>Numbers!HR17</f>
        <v>611000</v>
      </c>
      <c r="DB17" s="59">
        <f>Numbers!GJ17</f>
        <v>9</v>
      </c>
      <c r="DC17" s="59">
        <f>Numbers!AR17</f>
        <v>2</v>
      </c>
      <c r="DD17" s="27">
        <f>Numbers!GY17</f>
        <v>1830000</v>
      </c>
      <c r="DL17" s="27">
        <f>Numbers!ND17</f>
        <v>14</v>
      </c>
      <c r="DM17" s="27">
        <f>Numbers!BP17</f>
        <v>5</v>
      </c>
      <c r="DN17" s="27">
        <f>Numbers!NQ17</f>
        <v>3411.30756096</v>
      </c>
    </row>
    <row r="23" spans="1:118">
      <c r="A23" s="27" t="s">
        <v>373</v>
      </c>
      <c r="C23" s="27">
        <f>A17*B17+S17*T17+AV17*AW17+BI17*BJ17+CJ17*CK17+DB17*DC17+DL17*DM17</f>
        <v>316</v>
      </c>
    </row>
  </sheetData>
  <mergeCells count="7">
    <mergeCell ref="DL1:DM1"/>
    <mergeCell ref="A1:E1"/>
    <mergeCell ref="S1:V1"/>
    <mergeCell ref="AV1:AX1"/>
    <mergeCell ref="BI1:BL1"/>
    <mergeCell ref="DB1:DC1"/>
    <mergeCell ref="CJ1:CK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47"/>
  <sheetViews>
    <sheetView topLeftCell="A14" zoomScale="125" zoomScaleNormal="125" zoomScalePageLayoutView="125" workbookViewId="0">
      <selection activeCell="A25" sqref="A25:XFD25"/>
    </sheetView>
  </sheetViews>
  <sheetFormatPr baseColWidth="10" defaultRowHeight="16" x14ac:dyDescent="0"/>
  <cols>
    <col min="1" max="1" width="28" style="93" customWidth="1"/>
  </cols>
  <sheetData>
    <row r="1" spans="1:1">
      <c r="A1" s="95" t="s">
        <v>271</v>
      </c>
    </row>
    <row r="2" spans="1:1">
      <c r="A2" s="95" t="s">
        <v>272</v>
      </c>
    </row>
    <row r="3" spans="1:1">
      <c r="A3" s="95" t="s">
        <v>273</v>
      </c>
    </row>
    <row r="4" spans="1:1">
      <c r="A4" s="95" t="s">
        <v>274</v>
      </c>
    </row>
    <row r="5" spans="1:1">
      <c r="A5" s="95" t="s">
        <v>98</v>
      </c>
    </row>
    <row r="6" spans="1:1">
      <c r="A6" s="95" t="s">
        <v>275</v>
      </c>
    </row>
    <row r="7" spans="1:1">
      <c r="A7" s="95" t="s">
        <v>276</v>
      </c>
    </row>
    <row r="8" spans="1:1">
      <c r="A8" s="95" t="s">
        <v>277</v>
      </c>
    </row>
    <row r="9" spans="1:1">
      <c r="A9" s="95" t="s">
        <v>278</v>
      </c>
    </row>
    <row r="10" spans="1:1">
      <c r="A10" s="95" t="s">
        <v>279</v>
      </c>
    </row>
    <row r="11" spans="1:1">
      <c r="A11" s="95" t="s">
        <v>280</v>
      </c>
    </row>
    <row r="12" spans="1:1">
      <c r="A12" s="95" t="s">
        <v>281</v>
      </c>
    </row>
    <row r="13" spans="1:1">
      <c r="A13" s="95" t="s">
        <v>282</v>
      </c>
    </row>
    <row r="14" spans="1:1">
      <c r="A14" s="95" t="s">
        <v>283</v>
      </c>
    </row>
    <row r="15" spans="1:1">
      <c r="A15" s="95" t="s">
        <v>284</v>
      </c>
    </row>
    <row r="16" spans="1:1">
      <c r="A16" s="95" t="s">
        <v>285</v>
      </c>
    </row>
    <row r="17" spans="1:1">
      <c r="A17" s="95" t="s">
        <v>286</v>
      </c>
    </row>
    <row r="18" spans="1:1">
      <c r="A18" s="95" t="s">
        <v>287</v>
      </c>
    </row>
    <row r="19" spans="1:1">
      <c r="A19" s="95" t="s">
        <v>288</v>
      </c>
    </row>
    <row r="20" spans="1:1">
      <c r="A20" s="95" t="s">
        <v>289</v>
      </c>
    </row>
    <row r="21" spans="1:1">
      <c r="A21" s="95" t="s">
        <v>290</v>
      </c>
    </row>
    <row r="22" spans="1:1">
      <c r="A22" s="95" t="s">
        <v>291</v>
      </c>
    </row>
    <row r="23" spans="1:1">
      <c r="A23" s="92" t="s">
        <v>292</v>
      </c>
    </row>
    <row r="24" spans="1:1">
      <c r="A24" s="95" t="s">
        <v>270</v>
      </c>
    </row>
    <row r="25" spans="1:1">
      <c r="A25" s="95" t="s">
        <v>293</v>
      </c>
    </row>
    <row r="26" spans="1:1">
      <c r="A26" s="95" t="s">
        <v>99</v>
      </c>
    </row>
    <row r="27" spans="1:1">
      <c r="A27" s="95" t="s">
        <v>294</v>
      </c>
    </row>
    <row r="28" spans="1:1">
      <c r="A28" s="95" t="s">
        <v>295</v>
      </c>
    </row>
    <row r="29" spans="1:1">
      <c r="A29" s="95" t="s">
        <v>296</v>
      </c>
    </row>
    <row r="30" spans="1:1">
      <c r="A30" s="95" t="s">
        <v>297</v>
      </c>
    </row>
    <row r="31" spans="1:1">
      <c r="A31" s="95" t="s">
        <v>298</v>
      </c>
    </row>
    <row r="32" spans="1:1">
      <c r="A32" s="95" t="s">
        <v>299</v>
      </c>
    </row>
    <row r="33" spans="1:1">
      <c r="A33" s="95" t="s">
        <v>300</v>
      </c>
    </row>
    <row r="34" spans="1:1">
      <c r="A34" s="95" t="s">
        <v>108</v>
      </c>
    </row>
    <row r="35" spans="1:1">
      <c r="A35" s="95" t="s">
        <v>301</v>
      </c>
    </row>
    <row r="36" spans="1:1">
      <c r="A36" s="95" t="s">
        <v>107</v>
      </c>
    </row>
    <row r="37" spans="1:1">
      <c r="A37" s="95" t="s">
        <v>302</v>
      </c>
    </row>
    <row r="38" spans="1:1">
      <c r="A38" s="95" t="s">
        <v>303</v>
      </c>
    </row>
    <row r="39" spans="1:1">
      <c r="A39" s="95" t="s">
        <v>304</v>
      </c>
    </row>
    <row r="40" spans="1:1">
      <c r="A40" s="95" t="s">
        <v>305</v>
      </c>
    </row>
    <row r="41" spans="1:1">
      <c r="A41" s="95" t="s">
        <v>306</v>
      </c>
    </row>
    <row r="42" spans="1:1">
      <c r="A42" s="95" t="s">
        <v>307</v>
      </c>
    </row>
    <row r="43" spans="1:1">
      <c r="A43" s="92" t="s">
        <v>308</v>
      </c>
    </row>
    <row r="44" spans="1:1">
      <c r="A44" s="95" t="s">
        <v>309</v>
      </c>
    </row>
    <row r="45" spans="1:1">
      <c r="A45" s="95" t="s">
        <v>310</v>
      </c>
    </row>
    <row r="46" spans="1:1">
      <c r="A46" s="95" t="s">
        <v>311</v>
      </c>
    </row>
    <row r="47" spans="1:1">
      <c r="A47" s="95" t="s">
        <v>312</v>
      </c>
    </row>
    <row r="48" spans="1:1">
      <c r="A48" s="95" t="s">
        <v>313</v>
      </c>
    </row>
    <row r="49" spans="1:1">
      <c r="A49" s="95" t="s">
        <v>314</v>
      </c>
    </row>
    <row r="50" spans="1:1">
      <c r="A50" s="95" t="s">
        <v>315</v>
      </c>
    </row>
    <row r="51" spans="1:1">
      <c r="A51" s="95" t="s">
        <v>316</v>
      </c>
    </row>
    <row r="52" spans="1:1">
      <c r="A52" s="95" t="s">
        <v>317</v>
      </c>
    </row>
    <row r="53" spans="1:1">
      <c r="A53" s="95" t="s">
        <v>318</v>
      </c>
    </row>
    <row r="54" spans="1:1">
      <c r="A54" s="95" t="s">
        <v>319</v>
      </c>
    </row>
    <row r="55" spans="1:1">
      <c r="A55" s="95" t="s">
        <v>320</v>
      </c>
    </row>
    <row r="56" spans="1:1">
      <c r="A56" s="95" t="s">
        <v>321</v>
      </c>
    </row>
    <row r="57" spans="1:1">
      <c r="A57" s="95" t="s">
        <v>322</v>
      </c>
    </row>
    <row r="58" spans="1:1">
      <c r="A58" s="95" t="s">
        <v>323</v>
      </c>
    </row>
    <row r="59" spans="1:1">
      <c r="A59" s="95" t="s">
        <v>324</v>
      </c>
    </row>
    <row r="60" spans="1:1">
      <c r="A60" s="95" t="s">
        <v>325</v>
      </c>
    </row>
    <row r="61" spans="1:1">
      <c r="A61" s="95" t="s">
        <v>326</v>
      </c>
    </row>
    <row r="62" spans="1:1">
      <c r="A62" s="95" t="s">
        <v>327</v>
      </c>
    </row>
    <row r="63" spans="1:1">
      <c r="A63" s="95" t="s">
        <v>328</v>
      </c>
    </row>
    <row r="64" spans="1:1">
      <c r="A64" s="95" t="s">
        <v>329</v>
      </c>
    </row>
    <row r="65" spans="1:1">
      <c r="A65" s="95" t="s">
        <v>330</v>
      </c>
    </row>
    <row r="66" spans="1:1">
      <c r="A66" s="95" t="s">
        <v>331</v>
      </c>
    </row>
    <row r="67" spans="1:1">
      <c r="A67" s="95" t="s">
        <v>332</v>
      </c>
    </row>
    <row r="68" spans="1:1">
      <c r="A68" s="95" t="s">
        <v>333</v>
      </c>
    </row>
    <row r="69" spans="1:1">
      <c r="A69" s="95" t="s">
        <v>100</v>
      </c>
    </row>
    <row r="70" spans="1:1">
      <c r="A70" s="95" t="s">
        <v>334</v>
      </c>
    </row>
    <row r="71" spans="1:1">
      <c r="A71" s="95" t="s">
        <v>335</v>
      </c>
    </row>
    <row r="72" spans="1:1">
      <c r="A72" s="95" t="s">
        <v>336</v>
      </c>
    </row>
    <row r="73" spans="1:1">
      <c r="A73" s="95" t="s">
        <v>337</v>
      </c>
    </row>
    <row r="74" spans="1:1">
      <c r="A74" s="95" t="s">
        <v>338</v>
      </c>
    </row>
    <row r="75" spans="1:1">
      <c r="A75" s="95" t="s">
        <v>339</v>
      </c>
    </row>
    <row r="76" spans="1:1">
      <c r="A76" s="95" t="s">
        <v>340</v>
      </c>
    </row>
    <row r="77" spans="1:1">
      <c r="A77" s="95" t="s">
        <v>341</v>
      </c>
    </row>
    <row r="78" spans="1:1">
      <c r="A78" s="95" t="s">
        <v>342</v>
      </c>
    </row>
    <row r="79" spans="1:1">
      <c r="A79" s="95" t="s">
        <v>343</v>
      </c>
    </row>
    <row r="80" spans="1:1">
      <c r="A80" s="95" t="s">
        <v>344</v>
      </c>
    </row>
    <row r="81" spans="1:1">
      <c r="A81" s="95" t="s">
        <v>345</v>
      </c>
    </row>
    <row r="82" spans="1:1">
      <c r="A82" s="95" t="s">
        <v>346</v>
      </c>
    </row>
    <row r="83" spans="1:1">
      <c r="A83" s="95" t="s">
        <v>347</v>
      </c>
    </row>
    <row r="84" spans="1:1">
      <c r="A84" s="95" t="s">
        <v>348</v>
      </c>
    </row>
    <row r="85" spans="1:1">
      <c r="A85" s="95" t="s">
        <v>349</v>
      </c>
    </row>
    <row r="86" spans="1:1">
      <c r="A86" s="95" t="s">
        <v>350</v>
      </c>
    </row>
    <row r="87" spans="1:1">
      <c r="A87" s="95" t="s">
        <v>351</v>
      </c>
    </row>
    <row r="88" spans="1:1">
      <c r="A88" s="95" t="s">
        <v>352</v>
      </c>
    </row>
    <row r="89" spans="1:1">
      <c r="A89" s="95" t="s">
        <v>353</v>
      </c>
    </row>
    <row r="90" spans="1:1">
      <c r="A90" s="95" t="s">
        <v>354</v>
      </c>
    </row>
    <row r="91" spans="1:1">
      <c r="A91" s="95" t="s">
        <v>355</v>
      </c>
    </row>
    <row r="92" spans="1:1">
      <c r="A92" s="95" t="s">
        <v>356</v>
      </c>
    </row>
    <row r="93" spans="1:1">
      <c r="A93" s="95" t="s">
        <v>357</v>
      </c>
    </row>
    <row r="94" spans="1:1">
      <c r="A94" s="95" t="s">
        <v>358</v>
      </c>
    </row>
    <row r="95" spans="1:1">
      <c r="A95" s="95" t="s">
        <v>359</v>
      </c>
    </row>
    <row r="96" spans="1:1">
      <c r="A96" s="95" t="s">
        <v>360</v>
      </c>
    </row>
    <row r="97" spans="1:1">
      <c r="A97" s="95" t="s">
        <v>361</v>
      </c>
    </row>
    <row r="98" spans="1:1">
      <c r="A98" s="95" t="s">
        <v>362</v>
      </c>
    </row>
    <row r="99" spans="1:1">
      <c r="A99" s="95" t="s">
        <v>363</v>
      </c>
    </row>
    <row r="100" spans="1:1">
      <c r="A100" s="95" t="s">
        <v>364</v>
      </c>
    </row>
    <row r="101" spans="1:1">
      <c r="A101" s="95" t="s">
        <v>365</v>
      </c>
    </row>
    <row r="102" spans="1:1">
      <c r="A102" s="95" t="s">
        <v>366</v>
      </c>
    </row>
    <row r="103" spans="1:1">
      <c r="A103" s="95" t="s">
        <v>367</v>
      </c>
    </row>
    <row r="104" spans="1:1">
      <c r="A104" s="95" t="s">
        <v>368</v>
      </c>
    </row>
    <row r="105" spans="1:1">
      <c r="A105" s="95" t="s">
        <v>369</v>
      </c>
    </row>
    <row r="106" spans="1:1">
      <c r="A106" s="95" t="s">
        <v>104</v>
      </c>
    </row>
    <row r="107" spans="1:1">
      <c r="A107" s="95" t="s">
        <v>370</v>
      </c>
    </row>
    <row r="108" spans="1:1">
      <c r="A108" s="95" t="s">
        <v>371</v>
      </c>
    </row>
    <row r="109" spans="1:1">
      <c r="A109" s="95" t="s">
        <v>372</v>
      </c>
    </row>
    <row r="110" spans="1:1">
      <c r="A110" s="97" t="s">
        <v>374</v>
      </c>
    </row>
    <row r="111" spans="1:1">
      <c r="A111" s="97" t="s">
        <v>375</v>
      </c>
    </row>
    <row r="112" spans="1:1">
      <c r="A112" s="97" t="s">
        <v>376</v>
      </c>
    </row>
    <row r="113" spans="1:1">
      <c r="A113" s="97" t="s">
        <v>377</v>
      </c>
    </row>
    <row r="114" spans="1:1">
      <c r="A114" s="97" t="s">
        <v>378</v>
      </c>
    </row>
    <row r="115" spans="1:1">
      <c r="A115" s="97" t="s">
        <v>379</v>
      </c>
    </row>
    <row r="116" spans="1:1">
      <c r="A116" s="97" t="s">
        <v>380</v>
      </c>
    </row>
    <row r="117" spans="1:1">
      <c r="A117" s="97" t="s">
        <v>381</v>
      </c>
    </row>
    <row r="118" spans="1:1">
      <c r="A118" s="97" t="s">
        <v>382</v>
      </c>
    </row>
    <row r="119" spans="1:1">
      <c r="A119" s="97" t="s">
        <v>383</v>
      </c>
    </row>
    <row r="120" spans="1:1">
      <c r="A120" s="97" t="s">
        <v>384</v>
      </c>
    </row>
    <row r="121" spans="1:1">
      <c r="A121" s="97" t="s">
        <v>385</v>
      </c>
    </row>
    <row r="122" spans="1:1">
      <c r="A122" s="97" t="s">
        <v>386</v>
      </c>
    </row>
    <row r="123" spans="1:1">
      <c r="A123" s="97" t="s">
        <v>387</v>
      </c>
    </row>
    <row r="124" spans="1:1">
      <c r="A124" s="97" t="s">
        <v>388</v>
      </c>
    </row>
    <row r="125" spans="1:1">
      <c r="A125" s="97" t="s">
        <v>389</v>
      </c>
    </row>
    <row r="126" spans="1:1">
      <c r="A126" s="97" t="s">
        <v>390</v>
      </c>
    </row>
    <row r="127" spans="1:1">
      <c r="A127" s="97" t="s">
        <v>391</v>
      </c>
    </row>
    <row r="128" spans="1:1">
      <c r="A128" s="97" t="s">
        <v>392</v>
      </c>
    </row>
    <row r="129" spans="1:1">
      <c r="A129" s="97" t="s">
        <v>393</v>
      </c>
    </row>
    <row r="130" spans="1:1">
      <c r="A130" s="97" t="s">
        <v>394</v>
      </c>
    </row>
    <row r="131" spans="1:1">
      <c r="A131" s="97" t="s">
        <v>395</v>
      </c>
    </row>
    <row r="132" spans="1:1">
      <c r="A132" s="97" t="s">
        <v>396</v>
      </c>
    </row>
    <row r="133" spans="1:1">
      <c r="A133" s="97" t="s">
        <v>397</v>
      </c>
    </row>
    <row r="134" spans="1:1">
      <c r="A134" s="97" t="s">
        <v>398</v>
      </c>
    </row>
    <row r="135" spans="1:1">
      <c r="A135" s="97" t="s">
        <v>399</v>
      </c>
    </row>
    <row r="136" spans="1:1">
      <c r="A136" s="97" t="s">
        <v>400</v>
      </c>
    </row>
    <row r="137" spans="1:1">
      <c r="A137" s="97" t="s">
        <v>401</v>
      </c>
    </row>
    <row r="138" spans="1:1">
      <c r="A138" s="97" t="s">
        <v>402</v>
      </c>
    </row>
    <row r="139" spans="1:1">
      <c r="A139" s="97" t="s">
        <v>403</v>
      </c>
    </row>
    <row r="140" spans="1:1">
      <c r="A140" s="97" t="s">
        <v>404</v>
      </c>
    </row>
    <row r="141" spans="1:1">
      <c r="A141" s="97" t="s">
        <v>405</v>
      </c>
    </row>
    <row r="142" spans="1:1">
      <c r="A142" s="97" t="s">
        <v>406</v>
      </c>
    </row>
    <row r="143" spans="1:1">
      <c r="A143" s="97" t="s">
        <v>407</v>
      </c>
    </row>
    <row r="144" spans="1:1">
      <c r="A144" s="97" t="s">
        <v>408</v>
      </c>
    </row>
    <row r="145" spans="1:1">
      <c r="A145" s="97" t="s">
        <v>409</v>
      </c>
    </row>
    <row r="146" spans="1:1">
      <c r="A146" s="97" t="s">
        <v>410</v>
      </c>
    </row>
    <row r="147" spans="1:1">
      <c r="A147" s="98" t="s">
        <v>441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17"/>
  <sheetViews>
    <sheetView workbookViewId="0">
      <selection activeCell="D5" sqref="D5"/>
    </sheetView>
  </sheetViews>
  <sheetFormatPr baseColWidth="10" defaultRowHeight="15" x14ac:dyDescent="0"/>
  <cols>
    <col min="1" max="2" width="6.83203125" customWidth="1"/>
    <col min="3" max="3" width="3.83203125" customWidth="1"/>
    <col min="4" max="4" width="8.5" customWidth="1"/>
    <col min="5" max="5" width="10.33203125" customWidth="1"/>
    <col min="6" max="6" width="11.83203125" customWidth="1"/>
    <col min="8" max="8" width="5.83203125" customWidth="1"/>
    <col min="9" max="9" width="4" customWidth="1"/>
    <col min="10" max="10" width="7.33203125" customWidth="1"/>
    <col min="11" max="11" width="10" customWidth="1"/>
    <col min="12" max="12" width="7.33203125" customWidth="1"/>
    <col min="13" max="14" width="5.6640625" customWidth="1"/>
    <col min="15" max="15" width="8.83203125" style="27" customWidth="1"/>
    <col min="16" max="16" width="4" style="27" customWidth="1"/>
    <col min="17" max="18" width="6.83203125" style="27" customWidth="1"/>
    <col min="19" max="19" width="10.33203125" style="27" customWidth="1"/>
    <col min="21" max="22" width="6.83203125" customWidth="1"/>
    <col min="23" max="23" width="10.83203125" style="27"/>
    <col min="24" max="24" width="4.83203125" style="27" customWidth="1"/>
    <col min="25" max="25" width="8" style="27" customWidth="1"/>
    <col min="29" max="30" width="5.5" customWidth="1"/>
    <col min="31" max="31" width="10.83203125" style="27"/>
    <col min="32" max="32" width="5.33203125" customWidth="1"/>
    <col min="33" max="33" width="8.1640625" customWidth="1"/>
    <col min="38" max="38" width="4.6640625" customWidth="1"/>
    <col min="39" max="39" width="7.5" customWidth="1"/>
    <col min="43" max="43" width="4.1640625" customWidth="1"/>
  </cols>
  <sheetData>
    <row r="1" spans="1:45">
      <c r="A1" s="114" t="str">
        <f>Numbers!MO1</f>
        <v>bots</v>
      </c>
      <c r="B1" s="114"/>
      <c r="C1" s="114"/>
      <c r="D1" s="114"/>
      <c r="E1" s="65"/>
      <c r="F1" s="65"/>
      <c r="H1" t="str">
        <f>Numbers!A1</f>
        <v>commandCenter</v>
      </c>
      <c r="M1" s="114" t="str">
        <f>Numbers!EE1</f>
        <v>crystaliteFarm</v>
      </c>
      <c r="N1" s="114"/>
      <c r="O1" s="114"/>
      <c r="P1" s="65"/>
      <c r="Q1" s="65"/>
      <c r="R1" s="65"/>
      <c r="S1" s="65"/>
      <c r="U1" s="114" t="str">
        <f>Numbers!FP1</f>
        <v>adamantiteMine</v>
      </c>
      <c r="V1" s="114"/>
      <c r="W1" s="114"/>
      <c r="X1" s="65"/>
      <c r="Y1" s="65"/>
      <c r="AC1" t="str">
        <f>Numbers!HA1</f>
        <v>titaniumLab</v>
      </c>
      <c r="AK1" t="str">
        <f>Numbers!IK1</f>
        <v>laboratory</v>
      </c>
      <c r="AP1" t="str">
        <f>Numbers!OJ1</f>
        <v>garbage</v>
      </c>
    </row>
    <row r="2" spans="1:45">
      <c r="A2" s="68" t="str">
        <f>Numbers!MO2</f>
        <v>Level</v>
      </c>
      <c r="B2" s="68" t="str">
        <f>Numbers!BL2</f>
        <v>total</v>
      </c>
      <c r="C2" s="50" t="s">
        <v>123</v>
      </c>
      <c r="D2" s="2" t="s">
        <v>131</v>
      </c>
      <c r="E2" t="s">
        <v>125</v>
      </c>
      <c r="F2" t="s">
        <v>126</v>
      </c>
      <c r="H2" t="str">
        <f>Numbers!A2</f>
        <v>Level</v>
      </c>
      <c r="I2" s="69" t="s">
        <v>123</v>
      </c>
      <c r="J2" t="s">
        <v>122</v>
      </c>
      <c r="K2" t="s">
        <v>127</v>
      </c>
      <c r="M2" t="str">
        <f>Numbers!EE2</f>
        <v>Level</v>
      </c>
      <c r="N2" t="str">
        <f>Numbers!AL2</f>
        <v>total</v>
      </c>
      <c r="O2" s="27" t="str">
        <f>Numbers!ET2</f>
        <v>Cr. Farm</v>
      </c>
      <c r="P2" s="70" t="s">
        <v>123</v>
      </c>
      <c r="Q2" s="27" t="s">
        <v>122</v>
      </c>
      <c r="R2" s="27" t="s">
        <v>114</v>
      </c>
      <c r="S2" s="27" t="s">
        <v>124</v>
      </c>
      <c r="U2" t="str">
        <f>Numbers!FP2</f>
        <v>Level</v>
      </c>
      <c r="V2" t="str">
        <f>Numbers!AP2</f>
        <v>total</v>
      </c>
      <c r="W2" s="27" t="str">
        <f>Numbers!GE2</f>
        <v>Ad. Farm</v>
      </c>
      <c r="X2" s="70" t="s">
        <v>123</v>
      </c>
      <c r="Y2" s="27" t="s">
        <v>122</v>
      </c>
      <c r="Z2" s="27" t="s">
        <v>114</v>
      </c>
      <c r="AA2" s="27" t="s">
        <v>128</v>
      </c>
      <c r="AC2" t="str">
        <f>Numbers!HA2</f>
        <v>Level</v>
      </c>
      <c r="AD2" t="str">
        <f>Numbers!AT2</f>
        <v>total</v>
      </c>
      <c r="AE2" s="27" t="str">
        <f>Numbers!HP2</f>
        <v>Ti. Farm</v>
      </c>
      <c r="AF2" s="70" t="s">
        <v>123</v>
      </c>
      <c r="AG2" s="27" t="s">
        <v>122</v>
      </c>
      <c r="AH2" s="27" t="s">
        <v>114</v>
      </c>
      <c r="AI2" s="27" t="s">
        <v>129</v>
      </c>
      <c r="AK2" t="str">
        <f>Numbers!IK2</f>
        <v>Level</v>
      </c>
      <c r="AL2" s="69" t="s">
        <v>123</v>
      </c>
      <c r="AM2" t="s">
        <v>122</v>
      </c>
      <c r="AN2" t="s">
        <v>130</v>
      </c>
      <c r="AP2" t="str">
        <f>Numbers!OJ2</f>
        <v>Level</v>
      </c>
      <c r="AQ2" t="s">
        <v>123</v>
      </c>
      <c r="AR2" t="s">
        <v>122</v>
      </c>
      <c r="AS2" t="s">
        <v>267</v>
      </c>
    </row>
    <row r="3" spans="1:45">
      <c r="A3" s="68">
        <f>Numbers!MO3</f>
        <v>0</v>
      </c>
      <c r="B3" s="68">
        <f>Numbers!BL3</f>
        <v>0</v>
      </c>
      <c r="C3" s="25"/>
      <c r="D3" s="25"/>
      <c r="H3">
        <f>Numbers!A3</f>
        <v>1</v>
      </c>
      <c r="M3">
        <f>Numbers!EE3</f>
        <v>1</v>
      </c>
      <c r="N3">
        <f>Numbers!AL3</f>
        <v>1</v>
      </c>
      <c r="O3" s="27">
        <f>Numbers!ET3</f>
        <v>100</v>
      </c>
      <c r="P3"/>
      <c r="Q3"/>
      <c r="R3"/>
      <c r="S3"/>
      <c r="U3">
        <f>Numbers!FP3</f>
        <v>1</v>
      </c>
      <c r="V3">
        <f>Numbers!AP3</f>
        <v>1</v>
      </c>
      <c r="W3" s="27">
        <f>Numbers!GE3</f>
        <v>100</v>
      </c>
      <c r="AC3">
        <f>Numbers!HA3</f>
        <v>0</v>
      </c>
      <c r="AD3">
        <f>Numbers!AT3</f>
        <v>0</v>
      </c>
      <c r="AE3" s="27">
        <f>Numbers!HP3</f>
        <v>0</v>
      </c>
      <c r="AK3">
        <f>Numbers!IK3</f>
        <v>0</v>
      </c>
      <c r="AP3">
        <f>Numbers!OJ3</f>
        <v>0</v>
      </c>
    </row>
    <row r="4" spans="1:45">
      <c r="A4" s="68">
        <f>Numbers!MO4</f>
        <v>0</v>
      </c>
      <c r="B4" s="68">
        <f>Numbers!BL4</f>
        <v>0</v>
      </c>
      <c r="C4" s="25"/>
      <c r="D4" s="25"/>
      <c r="H4">
        <f>Numbers!A4</f>
        <v>2</v>
      </c>
      <c r="M4">
        <f>Numbers!EE4</f>
        <v>2</v>
      </c>
      <c r="N4">
        <f>Numbers!AL4</f>
        <v>1</v>
      </c>
      <c r="O4" s="27">
        <f>Numbers!ET4</f>
        <v>200</v>
      </c>
      <c r="P4"/>
      <c r="Q4"/>
      <c r="R4"/>
      <c r="S4"/>
      <c r="U4">
        <f>Numbers!FP4</f>
        <v>2</v>
      </c>
      <c r="V4">
        <f>Numbers!AP4</f>
        <v>2</v>
      </c>
      <c r="W4" s="27">
        <f>Numbers!GE4</f>
        <v>200</v>
      </c>
      <c r="AC4">
        <f>Numbers!HA4</f>
        <v>0</v>
      </c>
      <c r="AD4">
        <f>Numbers!AT4</f>
        <v>0</v>
      </c>
      <c r="AE4" s="27">
        <f>Numbers!HP4</f>
        <v>0</v>
      </c>
      <c r="AK4">
        <f>Numbers!IK4</f>
        <v>0</v>
      </c>
      <c r="AP4">
        <f>Numbers!OJ4</f>
        <v>0</v>
      </c>
    </row>
    <row r="5" spans="1:45">
      <c r="A5" s="68">
        <f>Numbers!MO5</f>
        <v>1</v>
      </c>
      <c r="B5" s="68">
        <f>Numbers!BL5</f>
        <v>1</v>
      </c>
      <c r="C5" s="25"/>
      <c r="D5" s="25">
        <v>3</v>
      </c>
      <c r="E5">
        <f t="shared" ref="E5:E17" si="0">D5*B5</f>
        <v>3</v>
      </c>
      <c r="F5">
        <f>J5+Q5*N5+Y5*V5+AG5*AD5+AM5+AR5</f>
        <v>7</v>
      </c>
      <c r="H5">
        <f>Numbers!A5</f>
        <v>3</v>
      </c>
      <c r="J5">
        <v>3</v>
      </c>
      <c r="K5">
        <v>10</v>
      </c>
      <c r="M5">
        <f>Numbers!EE5</f>
        <v>3</v>
      </c>
      <c r="N5">
        <f>Numbers!AL5</f>
        <v>2</v>
      </c>
      <c r="O5" s="27">
        <f>Numbers!ET5</f>
        <v>400</v>
      </c>
      <c r="P5"/>
      <c r="Q5">
        <v>1</v>
      </c>
      <c r="R5">
        <v>0.1</v>
      </c>
      <c r="S5">
        <f>R5*O5</f>
        <v>40</v>
      </c>
      <c r="U5">
        <f>Numbers!FP5</f>
        <v>3</v>
      </c>
      <c r="V5">
        <f>Numbers!AP5</f>
        <v>2</v>
      </c>
      <c r="W5" s="27">
        <f>Numbers!GE5</f>
        <v>400</v>
      </c>
      <c r="X5"/>
      <c r="Y5">
        <v>1</v>
      </c>
      <c r="Z5">
        <v>0.1</v>
      </c>
      <c r="AA5">
        <f>Z5*W5</f>
        <v>40</v>
      </c>
      <c r="AC5">
        <f>Numbers!HA5</f>
        <v>0</v>
      </c>
      <c r="AD5">
        <f>Numbers!AT5</f>
        <v>0</v>
      </c>
      <c r="AE5" s="27">
        <f>Numbers!HP5</f>
        <v>0</v>
      </c>
      <c r="AG5">
        <v>1</v>
      </c>
      <c r="AH5">
        <v>0.1</v>
      </c>
      <c r="AI5">
        <f>AH5*AE5</f>
        <v>0</v>
      </c>
      <c r="AK5">
        <f>Numbers!IK5</f>
        <v>0</v>
      </c>
      <c r="AP5">
        <f>Numbers!OJ5</f>
        <v>0</v>
      </c>
    </row>
    <row r="6" spans="1:45">
      <c r="A6" s="68">
        <f>Numbers!MO6</f>
        <v>2</v>
      </c>
      <c r="B6" s="68">
        <f>Numbers!BL6</f>
        <v>1</v>
      </c>
      <c r="C6" s="25">
        <v>2</v>
      </c>
      <c r="D6" s="25">
        <f>D5+C6</f>
        <v>5</v>
      </c>
      <c r="E6">
        <f t="shared" si="0"/>
        <v>5</v>
      </c>
      <c r="F6">
        <f t="shared" ref="F6:F17" si="1">J6+Q6*N6+Y6*V6+AG6*AD6+AM6+AR6</f>
        <v>14</v>
      </c>
      <c r="H6">
        <f>Numbers!A6</f>
        <v>4</v>
      </c>
      <c r="I6">
        <v>1</v>
      </c>
      <c r="J6">
        <f>I6+J5</f>
        <v>4</v>
      </c>
      <c r="K6">
        <f>K5</f>
        <v>10</v>
      </c>
      <c r="M6">
        <f>Numbers!EE6</f>
        <v>4</v>
      </c>
      <c r="N6">
        <f>Numbers!AL6</f>
        <v>2</v>
      </c>
      <c r="O6" s="27">
        <f>Numbers!ET6</f>
        <v>800</v>
      </c>
      <c r="P6">
        <v>1</v>
      </c>
      <c r="Q6">
        <f>P6+Q5</f>
        <v>2</v>
      </c>
      <c r="R6">
        <f>R5</f>
        <v>0.1</v>
      </c>
      <c r="S6">
        <f t="shared" ref="S6:S17" si="2">R6*O6</f>
        <v>80</v>
      </c>
      <c r="U6">
        <f>Numbers!FP6</f>
        <v>4</v>
      </c>
      <c r="V6">
        <f>Numbers!AP6</f>
        <v>2</v>
      </c>
      <c r="W6" s="27">
        <f>Numbers!GE6</f>
        <v>800</v>
      </c>
      <c r="X6">
        <v>1</v>
      </c>
      <c r="Y6">
        <f>X6+Y5</f>
        <v>2</v>
      </c>
      <c r="Z6">
        <f>Z5</f>
        <v>0.1</v>
      </c>
      <c r="AA6">
        <f t="shared" ref="AA6:AA17" si="3">Z6*W6</f>
        <v>80</v>
      </c>
      <c r="AC6">
        <f>Numbers!HA6</f>
        <v>0</v>
      </c>
      <c r="AD6">
        <f>Numbers!AT6</f>
        <v>0</v>
      </c>
      <c r="AE6" s="27">
        <f>Numbers!HP6</f>
        <v>0</v>
      </c>
      <c r="AF6">
        <v>1</v>
      </c>
      <c r="AG6">
        <f>AF6+AG5</f>
        <v>2</v>
      </c>
      <c r="AH6">
        <f>AH5</f>
        <v>0.1</v>
      </c>
      <c r="AI6">
        <f t="shared" ref="AI6:AI17" si="4">AH6*AE6</f>
        <v>0</v>
      </c>
      <c r="AK6">
        <f>Numbers!IK6</f>
        <v>0</v>
      </c>
      <c r="AP6">
        <f>Numbers!OJ6</f>
        <v>1</v>
      </c>
      <c r="AR6">
        <v>2</v>
      </c>
      <c r="AS6">
        <v>30</v>
      </c>
    </row>
    <row r="7" spans="1:45">
      <c r="A7" s="68">
        <f>Numbers!MO7</f>
        <v>3</v>
      </c>
      <c r="B7" s="68">
        <f>Numbers!BL7</f>
        <v>2</v>
      </c>
      <c r="C7" s="25">
        <v>2</v>
      </c>
      <c r="D7" s="25">
        <f t="shared" ref="D7:D17" si="5">D6+C7</f>
        <v>7</v>
      </c>
      <c r="E7">
        <f t="shared" si="0"/>
        <v>14</v>
      </c>
      <c r="F7">
        <f t="shared" si="1"/>
        <v>29</v>
      </c>
      <c r="H7">
        <f>Numbers!A7</f>
        <v>5</v>
      </c>
      <c r="I7">
        <v>1</v>
      </c>
      <c r="J7">
        <f t="shared" ref="J7:J17" si="6">I7+J6</f>
        <v>5</v>
      </c>
      <c r="K7">
        <f t="shared" ref="K7:K17" si="7">K6</f>
        <v>10</v>
      </c>
      <c r="M7">
        <f>Numbers!EE7</f>
        <v>5</v>
      </c>
      <c r="N7">
        <f>Numbers!AL7</f>
        <v>3</v>
      </c>
      <c r="O7" s="27">
        <f>Numbers!ET7</f>
        <v>1200</v>
      </c>
      <c r="P7">
        <v>1</v>
      </c>
      <c r="Q7">
        <f t="shared" ref="Q7:Q17" si="8">P7+Q6</f>
        <v>3</v>
      </c>
      <c r="R7">
        <f t="shared" ref="R7:R17" si="9">R6</f>
        <v>0.1</v>
      </c>
      <c r="S7">
        <f t="shared" si="2"/>
        <v>120</v>
      </c>
      <c r="U7">
        <f>Numbers!FP7</f>
        <v>5</v>
      </c>
      <c r="V7">
        <f>Numbers!AP7</f>
        <v>3</v>
      </c>
      <c r="W7" s="27">
        <f>Numbers!GE7</f>
        <v>1200</v>
      </c>
      <c r="X7">
        <v>1</v>
      </c>
      <c r="Y7">
        <f t="shared" ref="Y7:Y17" si="10">X7+Y6</f>
        <v>3</v>
      </c>
      <c r="Z7">
        <f t="shared" ref="Z7:Z17" si="11">Z6</f>
        <v>0.1</v>
      </c>
      <c r="AA7">
        <f t="shared" si="3"/>
        <v>120</v>
      </c>
      <c r="AC7">
        <f>Numbers!HA7</f>
        <v>0</v>
      </c>
      <c r="AD7">
        <f>Numbers!AT7</f>
        <v>0</v>
      </c>
      <c r="AE7" s="27">
        <f>Numbers!HP7</f>
        <v>0</v>
      </c>
      <c r="AF7">
        <v>1</v>
      </c>
      <c r="AG7">
        <f t="shared" ref="AG7:AG17" si="12">AF7+AG6</f>
        <v>3</v>
      </c>
      <c r="AH7">
        <f t="shared" ref="AH7:AH17" si="13">AH6</f>
        <v>0.1</v>
      </c>
      <c r="AI7">
        <f t="shared" si="4"/>
        <v>0</v>
      </c>
      <c r="AK7">
        <f>Numbers!IK7</f>
        <v>1</v>
      </c>
      <c r="AM7">
        <v>3</v>
      </c>
      <c r="AN7">
        <v>20</v>
      </c>
      <c r="AP7">
        <f>Numbers!OJ7</f>
        <v>2</v>
      </c>
      <c r="AQ7">
        <v>1</v>
      </c>
      <c r="AR7">
        <f>AR6+AQ7</f>
        <v>3</v>
      </c>
      <c r="AS7">
        <f>AS6</f>
        <v>30</v>
      </c>
    </row>
    <row r="8" spans="1:45">
      <c r="A8" s="68">
        <f>Numbers!MO8</f>
        <v>4</v>
      </c>
      <c r="B8" s="68">
        <f>Numbers!BL8</f>
        <v>2</v>
      </c>
      <c r="C8" s="25">
        <v>2</v>
      </c>
      <c r="D8" s="25">
        <f t="shared" si="5"/>
        <v>9</v>
      </c>
      <c r="E8">
        <f t="shared" si="0"/>
        <v>18</v>
      </c>
      <c r="F8">
        <f t="shared" si="1"/>
        <v>38</v>
      </c>
      <c r="H8">
        <f>Numbers!A8</f>
        <v>6</v>
      </c>
      <c r="I8">
        <v>1</v>
      </c>
      <c r="J8">
        <f t="shared" si="6"/>
        <v>6</v>
      </c>
      <c r="K8">
        <f t="shared" si="7"/>
        <v>10</v>
      </c>
      <c r="M8">
        <f>Numbers!EE8</f>
        <v>6</v>
      </c>
      <c r="N8">
        <f>Numbers!AL8</f>
        <v>3</v>
      </c>
      <c r="O8" s="27">
        <f>Numbers!ET8</f>
        <v>1800</v>
      </c>
      <c r="P8">
        <v>1</v>
      </c>
      <c r="Q8">
        <f t="shared" si="8"/>
        <v>4</v>
      </c>
      <c r="R8">
        <f t="shared" si="9"/>
        <v>0.1</v>
      </c>
      <c r="S8">
        <f t="shared" si="2"/>
        <v>180</v>
      </c>
      <c r="U8">
        <f>Numbers!FP8</f>
        <v>6</v>
      </c>
      <c r="V8">
        <f>Numbers!AP8</f>
        <v>3</v>
      </c>
      <c r="W8" s="27">
        <f>Numbers!GE8</f>
        <v>1800</v>
      </c>
      <c r="X8">
        <v>1</v>
      </c>
      <c r="Y8">
        <f t="shared" si="10"/>
        <v>4</v>
      </c>
      <c r="Z8">
        <f t="shared" si="11"/>
        <v>0.1</v>
      </c>
      <c r="AA8">
        <f t="shared" si="3"/>
        <v>180</v>
      </c>
      <c r="AC8">
        <f>Numbers!HA8</f>
        <v>0</v>
      </c>
      <c r="AD8">
        <f>Numbers!AT8</f>
        <v>0</v>
      </c>
      <c r="AE8" s="27">
        <f>Numbers!HP8</f>
        <v>0</v>
      </c>
      <c r="AF8">
        <v>1</v>
      </c>
      <c r="AG8">
        <f t="shared" si="12"/>
        <v>4</v>
      </c>
      <c r="AH8">
        <f t="shared" si="13"/>
        <v>0.1</v>
      </c>
      <c r="AI8">
        <f t="shared" si="4"/>
        <v>0</v>
      </c>
      <c r="AK8">
        <f>Numbers!IK8</f>
        <v>2</v>
      </c>
      <c r="AL8">
        <v>1</v>
      </c>
      <c r="AM8">
        <f t="shared" ref="AM8:AM17" si="14">AL8+AM7</f>
        <v>4</v>
      </c>
      <c r="AN8">
        <f t="shared" ref="AN8:AN17" si="15">AN7</f>
        <v>20</v>
      </c>
      <c r="AP8">
        <f>Numbers!OJ8</f>
        <v>3</v>
      </c>
      <c r="AQ8">
        <v>1</v>
      </c>
      <c r="AR8">
        <f t="shared" ref="AR8:AR17" si="16">AR7+AQ8</f>
        <v>4</v>
      </c>
      <c r="AS8">
        <f t="shared" ref="AS8:AS17" si="17">AS7</f>
        <v>30</v>
      </c>
    </row>
    <row r="9" spans="1:45">
      <c r="A9" s="68">
        <f>Numbers!MO9</f>
        <v>5</v>
      </c>
      <c r="B9" s="68">
        <f>Numbers!BL9</f>
        <v>2</v>
      </c>
      <c r="C9" s="25">
        <v>2</v>
      </c>
      <c r="D9" s="25">
        <f t="shared" si="5"/>
        <v>11</v>
      </c>
      <c r="E9">
        <f t="shared" si="0"/>
        <v>22</v>
      </c>
      <c r="F9">
        <f t="shared" si="1"/>
        <v>57</v>
      </c>
      <c r="H9">
        <f>Numbers!A9</f>
        <v>7</v>
      </c>
      <c r="I9">
        <v>1</v>
      </c>
      <c r="J9">
        <f t="shared" si="6"/>
        <v>7</v>
      </c>
      <c r="K9">
        <v>9</v>
      </c>
      <c r="M9">
        <f>Numbers!EE9</f>
        <v>7</v>
      </c>
      <c r="N9">
        <f>Numbers!AL9</f>
        <v>4</v>
      </c>
      <c r="O9" s="27">
        <f>Numbers!ET9</f>
        <v>2700</v>
      </c>
      <c r="P9">
        <v>1</v>
      </c>
      <c r="Q9">
        <f t="shared" si="8"/>
        <v>5</v>
      </c>
      <c r="R9">
        <f t="shared" si="9"/>
        <v>0.1</v>
      </c>
      <c r="S9">
        <f t="shared" si="2"/>
        <v>270</v>
      </c>
      <c r="U9">
        <f>Numbers!FP9</f>
        <v>7</v>
      </c>
      <c r="V9">
        <f>Numbers!AP9</f>
        <v>3</v>
      </c>
      <c r="W9" s="27">
        <f>Numbers!GE9</f>
        <v>2700</v>
      </c>
      <c r="X9">
        <v>1</v>
      </c>
      <c r="Y9">
        <f t="shared" si="10"/>
        <v>5</v>
      </c>
      <c r="Z9">
        <f t="shared" si="11"/>
        <v>0.1</v>
      </c>
      <c r="AA9">
        <f t="shared" si="3"/>
        <v>270</v>
      </c>
      <c r="AC9">
        <f>Numbers!HA9</f>
        <v>1</v>
      </c>
      <c r="AD9">
        <f>Numbers!AT9</f>
        <v>1</v>
      </c>
      <c r="AE9" s="27">
        <f>Numbers!HP9</f>
        <v>2160</v>
      </c>
      <c r="AF9">
        <v>1</v>
      </c>
      <c r="AG9">
        <f t="shared" si="12"/>
        <v>5</v>
      </c>
      <c r="AH9">
        <f t="shared" si="13"/>
        <v>0.1</v>
      </c>
      <c r="AI9">
        <f t="shared" si="4"/>
        <v>216</v>
      </c>
      <c r="AK9">
        <f>Numbers!IK9</f>
        <v>3</v>
      </c>
      <c r="AL9">
        <v>1</v>
      </c>
      <c r="AM9">
        <f t="shared" si="14"/>
        <v>5</v>
      </c>
      <c r="AN9">
        <v>18</v>
      </c>
      <c r="AP9">
        <f>Numbers!OJ9</f>
        <v>4</v>
      </c>
      <c r="AQ9">
        <v>1</v>
      </c>
      <c r="AR9">
        <f t="shared" si="16"/>
        <v>5</v>
      </c>
      <c r="AS9">
        <f t="shared" si="17"/>
        <v>30</v>
      </c>
    </row>
    <row r="10" spans="1:45">
      <c r="A10" s="68">
        <f>Numbers!MO10</f>
        <v>6</v>
      </c>
      <c r="B10" s="68">
        <f>Numbers!BL10</f>
        <v>2</v>
      </c>
      <c r="C10" s="25">
        <v>2</v>
      </c>
      <c r="D10" s="25">
        <f t="shared" si="5"/>
        <v>13</v>
      </c>
      <c r="E10">
        <f t="shared" si="0"/>
        <v>26</v>
      </c>
      <c r="F10">
        <f t="shared" si="1"/>
        <v>74</v>
      </c>
      <c r="H10">
        <f>Numbers!A10</f>
        <v>8</v>
      </c>
      <c r="I10">
        <v>1</v>
      </c>
      <c r="J10">
        <f t="shared" si="6"/>
        <v>8</v>
      </c>
      <c r="K10">
        <f t="shared" si="7"/>
        <v>9</v>
      </c>
      <c r="M10">
        <f>Numbers!EE10</f>
        <v>8</v>
      </c>
      <c r="N10">
        <f>Numbers!AL10</f>
        <v>4</v>
      </c>
      <c r="O10" s="27">
        <f>Numbers!ET10</f>
        <v>3240</v>
      </c>
      <c r="P10">
        <v>1</v>
      </c>
      <c r="Q10">
        <f t="shared" si="8"/>
        <v>6</v>
      </c>
      <c r="R10">
        <f t="shared" si="9"/>
        <v>0.1</v>
      </c>
      <c r="S10">
        <f t="shared" si="2"/>
        <v>324</v>
      </c>
      <c r="U10">
        <f>Numbers!FP10</f>
        <v>8</v>
      </c>
      <c r="V10">
        <f>Numbers!AP10</f>
        <v>4</v>
      </c>
      <c r="W10" s="27">
        <f>Numbers!GE10</f>
        <v>3240</v>
      </c>
      <c r="X10">
        <v>1</v>
      </c>
      <c r="Y10">
        <f t="shared" si="10"/>
        <v>6</v>
      </c>
      <c r="Z10">
        <f t="shared" si="11"/>
        <v>0.1</v>
      </c>
      <c r="AA10">
        <f t="shared" si="3"/>
        <v>324</v>
      </c>
      <c r="AC10">
        <f>Numbers!HA10</f>
        <v>2</v>
      </c>
      <c r="AD10">
        <f>Numbers!AT10</f>
        <v>1</v>
      </c>
      <c r="AE10" s="27">
        <f>Numbers!HP10</f>
        <v>2590</v>
      </c>
      <c r="AF10">
        <v>1</v>
      </c>
      <c r="AG10">
        <f t="shared" si="12"/>
        <v>6</v>
      </c>
      <c r="AH10">
        <f t="shared" si="13"/>
        <v>0.1</v>
      </c>
      <c r="AI10">
        <f t="shared" si="4"/>
        <v>259</v>
      </c>
      <c r="AK10">
        <f>Numbers!IK10</f>
        <v>4</v>
      </c>
      <c r="AL10">
        <v>1</v>
      </c>
      <c r="AM10">
        <f t="shared" si="14"/>
        <v>6</v>
      </c>
      <c r="AN10">
        <f t="shared" si="15"/>
        <v>18</v>
      </c>
      <c r="AP10">
        <f>Numbers!OJ10</f>
        <v>5</v>
      </c>
      <c r="AQ10">
        <v>1</v>
      </c>
      <c r="AR10">
        <f t="shared" si="16"/>
        <v>6</v>
      </c>
      <c r="AS10">
        <v>25</v>
      </c>
    </row>
    <row r="11" spans="1:45">
      <c r="A11" s="68">
        <f>Numbers!MO11</f>
        <v>7</v>
      </c>
      <c r="B11" s="68">
        <f>Numbers!BL11</f>
        <v>3</v>
      </c>
      <c r="C11" s="25">
        <v>2</v>
      </c>
      <c r="D11" s="25">
        <f t="shared" si="5"/>
        <v>15</v>
      </c>
      <c r="E11">
        <f t="shared" si="0"/>
        <v>45</v>
      </c>
      <c r="F11">
        <f t="shared" si="1"/>
        <v>93</v>
      </c>
      <c r="H11">
        <f>Numbers!A11</f>
        <v>9</v>
      </c>
      <c r="I11">
        <v>1</v>
      </c>
      <c r="J11">
        <f t="shared" si="6"/>
        <v>9</v>
      </c>
      <c r="K11">
        <f t="shared" si="7"/>
        <v>9</v>
      </c>
      <c r="M11">
        <f>Numbers!EE11</f>
        <v>9</v>
      </c>
      <c r="N11">
        <f>Numbers!AL11</f>
        <v>4</v>
      </c>
      <c r="O11" s="27">
        <f>Numbers!ET11</f>
        <v>3890</v>
      </c>
      <c r="P11">
        <v>1</v>
      </c>
      <c r="Q11">
        <f t="shared" si="8"/>
        <v>7</v>
      </c>
      <c r="R11">
        <f t="shared" si="9"/>
        <v>0.1</v>
      </c>
      <c r="S11">
        <f t="shared" si="2"/>
        <v>389</v>
      </c>
      <c r="U11">
        <f>Numbers!FP11</f>
        <v>9</v>
      </c>
      <c r="V11">
        <f>Numbers!AP11</f>
        <v>4</v>
      </c>
      <c r="W11" s="27">
        <f>Numbers!GE11</f>
        <v>3890</v>
      </c>
      <c r="X11">
        <v>1</v>
      </c>
      <c r="Y11">
        <f t="shared" si="10"/>
        <v>7</v>
      </c>
      <c r="Z11">
        <f t="shared" si="11"/>
        <v>0.1</v>
      </c>
      <c r="AA11">
        <f t="shared" si="3"/>
        <v>389</v>
      </c>
      <c r="AC11">
        <f>Numbers!HA11</f>
        <v>3</v>
      </c>
      <c r="AD11">
        <f>Numbers!AT11</f>
        <v>2</v>
      </c>
      <c r="AE11" s="27">
        <f>Numbers!HP11</f>
        <v>3110</v>
      </c>
      <c r="AF11">
        <v>1</v>
      </c>
      <c r="AG11">
        <f t="shared" si="12"/>
        <v>7</v>
      </c>
      <c r="AH11">
        <f t="shared" si="13"/>
        <v>0.1</v>
      </c>
      <c r="AI11">
        <f t="shared" si="4"/>
        <v>311</v>
      </c>
      <c r="AK11">
        <f>Numbers!IK11</f>
        <v>5</v>
      </c>
      <c r="AL11">
        <v>1</v>
      </c>
      <c r="AM11">
        <f t="shared" si="14"/>
        <v>7</v>
      </c>
      <c r="AN11">
        <f t="shared" si="15"/>
        <v>18</v>
      </c>
      <c r="AP11">
        <f>Numbers!OJ11</f>
        <v>6</v>
      </c>
      <c r="AQ11">
        <v>1</v>
      </c>
      <c r="AR11">
        <f t="shared" si="16"/>
        <v>7</v>
      </c>
      <c r="AS11">
        <f t="shared" si="17"/>
        <v>25</v>
      </c>
    </row>
    <row r="12" spans="1:45">
      <c r="A12" s="68">
        <f>Numbers!MO12</f>
        <v>8</v>
      </c>
      <c r="B12" s="68">
        <f>Numbers!BL12</f>
        <v>3</v>
      </c>
      <c r="C12" s="25">
        <v>2</v>
      </c>
      <c r="D12" s="25">
        <f t="shared" si="5"/>
        <v>17</v>
      </c>
      <c r="E12">
        <f t="shared" si="0"/>
        <v>51</v>
      </c>
      <c r="F12">
        <f t="shared" si="1"/>
        <v>106</v>
      </c>
      <c r="H12">
        <f>Numbers!A12</f>
        <v>10</v>
      </c>
      <c r="I12">
        <v>1</v>
      </c>
      <c r="J12">
        <f t="shared" si="6"/>
        <v>10</v>
      </c>
      <c r="K12">
        <f t="shared" si="7"/>
        <v>9</v>
      </c>
      <c r="M12">
        <f>Numbers!EE12</f>
        <v>10</v>
      </c>
      <c r="N12">
        <f>Numbers!AL12</f>
        <v>4</v>
      </c>
      <c r="O12" s="27">
        <f>Numbers!ET12</f>
        <v>4670</v>
      </c>
      <c r="P12">
        <v>1</v>
      </c>
      <c r="Q12">
        <f t="shared" si="8"/>
        <v>8</v>
      </c>
      <c r="R12">
        <f t="shared" si="9"/>
        <v>0.1</v>
      </c>
      <c r="S12">
        <f t="shared" si="2"/>
        <v>467</v>
      </c>
      <c r="U12">
        <f>Numbers!FP12</f>
        <v>10</v>
      </c>
      <c r="V12">
        <f>Numbers!AP12</f>
        <v>4</v>
      </c>
      <c r="W12" s="27">
        <f>Numbers!GE12</f>
        <v>4670</v>
      </c>
      <c r="X12">
        <v>1</v>
      </c>
      <c r="Y12">
        <f t="shared" si="10"/>
        <v>8</v>
      </c>
      <c r="Z12">
        <f t="shared" si="11"/>
        <v>0.1</v>
      </c>
      <c r="AA12">
        <f t="shared" si="3"/>
        <v>467</v>
      </c>
      <c r="AC12">
        <f>Numbers!HA12</f>
        <v>4</v>
      </c>
      <c r="AD12">
        <f>Numbers!AT12</f>
        <v>2</v>
      </c>
      <c r="AE12" s="27">
        <f>Numbers!HP12</f>
        <v>3740</v>
      </c>
      <c r="AF12">
        <v>1</v>
      </c>
      <c r="AG12">
        <f t="shared" si="12"/>
        <v>8</v>
      </c>
      <c r="AH12">
        <f t="shared" si="13"/>
        <v>0.1</v>
      </c>
      <c r="AI12">
        <f t="shared" si="4"/>
        <v>374</v>
      </c>
      <c r="AK12">
        <f>Numbers!IK12</f>
        <v>6</v>
      </c>
      <c r="AL12">
        <v>1</v>
      </c>
      <c r="AM12">
        <f t="shared" si="14"/>
        <v>8</v>
      </c>
      <c r="AN12">
        <f t="shared" si="15"/>
        <v>18</v>
      </c>
      <c r="AP12">
        <f>Numbers!OJ12</f>
        <v>7</v>
      </c>
      <c r="AQ12">
        <v>1</v>
      </c>
      <c r="AR12">
        <f t="shared" si="16"/>
        <v>8</v>
      </c>
      <c r="AS12">
        <f t="shared" si="17"/>
        <v>25</v>
      </c>
    </row>
    <row r="13" spans="1:45">
      <c r="A13" s="68">
        <f>Numbers!MO13</f>
        <v>9</v>
      </c>
      <c r="B13" s="68">
        <f>Numbers!BL13</f>
        <v>3</v>
      </c>
      <c r="C13" s="25">
        <v>1</v>
      </c>
      <c r="D13" s="25">
        <f t="shared" si="5"/>
        <v>18</v>
      </c>
      <c r="E13">
        <f t="shared" si="0"/>
        <v>54</v>
      </c>
      <c r="F13">
        <f t="shared" si="1"/>
        <v>119</v>
      </c>
      <c r="H13">
        <f>Numbers!A13</f>
        <v>11</v>
      </c>
      <c r="I13">
        <v>1</v>
      </c>
      <c r="J13">
        <f t="shared" si="6"/>
        <v>11</v>
      </c>
      <c r="K13">
        <f t="shared" si="7"/>
        <v>9</v>
      </c>
      <c r="M13">
        <f>Numbers!EE13</f>
        <v>11</v>
      </c>
      <c r="N13">
        <f>Numbers!AL13</f>
        <v>4</v>
      </c>
      <c r="O13" s="27">
        <f>Numbers!ET13</f>
        <v>5600</v>
      </c>
      <c r="P13">
        <v>1</v>
      </c>
      <c r="Q13">
        <f t="shared" si="8"/>
        <v>9</v>
      </c>
      <c r="R13">
        <f t="shared" si="9"/>
        <v>0.1</v>
      </c>
      <c r="S13">
        <f t="shared" si="2"/>
        <v>560</v>
      </c>
      <c r="U13">
        <f>Numbers!FP13</f>
        <v>11</v>
      </c>
      <c r="V13">
        <f>Numbers!AP13</f>
        <v>4</v>
      </c>
      <c r="W13" s="27">
        <f>Numbers!GE13</f>
        <v>5600</v>
      </c>
      <c r="X13">
        <v>1</v>
      </c>
      <c r="Y13">
        <f t="shared" si="10"/>
        <v>9</v>
      </c>
      <c r="Z13">
        <f t="shared" si="11"/>
        <v>0.1</v>
      </c>
      <c r="AA13">
        <f t="shared" si="3"/>
        <v>560</v>
      </c>
      <c r="AC13">
        <f>Numbers!HA13</f>
        <v>5</v>
      </c>
      <c r="AD13">
        <f>Numbers!AT13</f>
        <v>2</v>
      </c>
      <c r="AE13" s="27">
        <f>Numbers!HP13</f>
        <v>4480</v>
      </c>
      <c r="AF13">
        <v>1</v>
      </c>
      <c r="AG13">
        <f t="shared" si="12"/>
        <v>9</v>
      </c>
      <c r="AH13">
        <f t="shared" si="13"/>
        <v>0.1</v>
      </c>
      <c r="AI13">
        <f t="shared" si="4"/>
        <v>448</v>
      </c>
      <c r="AK13">
        <f>Numbers!IK13</f>
        <v>7</v>
      </c>
      <c r="AL13">
        <v>1</v>
      </c>
      <c r="AM13">
        <f t="shared" si="14"/>
        <v>9</v>
      </c>
      <c r="AN13">
        <f t="shared" si="15"/>
        <v>18</v>
      </c>
      <c r="AP13">
        <f>Numbers!OJ13</f>
        <v>8</v>
      </c>
      <c r="AQ13">
        <v>1</v>
      </c>
      <c r="AR13">
        <f t="shared" si="16"/>
        <v>9</v>
      </c>
      <c r="AS13">
        <f t="shared" si="17"/>
        <v>25</v>
      </c>
    </row>
    <row r="14" spans="1:45">
      <c r="A14" s="68">
        <f>Numbers!MO14</f>
        <v>10</v>
      </c>
      <c r="B14" s="68">
        <f>Numbers!BL14</f>
        <v>3</v>
      </c>
      <c r="C14" s="25">
        <v>1</v>
      </c>
      <c r="D14" s="25">
        <f t="shared" si="5"/>
        <v>19</v>
      </c>
      <c r="E14">
        <f t="shared" si="0"/>
        <v>57</v>
      </c>
      <c r="F14">
        <f t="shared" si="1"/>
        <v>132</v>
      </c>
      <c r="H14">
        <f>Numbers!A14</f>
        <v>12</v>
      </c>
      <c r="I14">
        <v>1</v>
      </c>
      <c r="J14">
        <f t="shared" si="6"/>
        <v>12</v>
      </c>
      <c r="K14">
        <v>8</v>
      </c>
      <c r="M14">
        <f>Numbers!EE14</f>
        <v>12</v>
      </c>
      <c r="N14">
        <f>Numbers!AL14</f>
        <v>4</v>
      </c>
      <c r="O14" s="27">
        <f>Numbers!ET14</f>
        <v>6720</v>
      </c>
      <c r="P14">
        <v>1</v>
      </c>
      <c r="Q14">
        <f t="shared" si="8"/>
        <v>10</v>
      </c>
      <c r="R14">
        <f t="shared" si="9"/>
        <v>0.1</v>
      </c>
      <c r="S14">
        <f t="shared" si="2"/>
        <v>672</v>
      </c>
      <c r="U14">
        <f>Numbers!FP14</f>
        <v>12</v>
      </c>
      <c r="V14">
        <f>Numbers!AP14</f>
        <v>4</v>
      </c>
      <c r="W14" s="27">
        <f>Numbers!GE14</f>
        <v>6720</v>
      </c>
      <c r="X14">
        <v>1</v>
      </c>
      <c r="Y14">
        <f t="shared" si="10"/>
        <v>10</v>
      </c>
      <c r="Z14">
        <f t="shared" si="11"/>
        <v>0.1</v>
      </c>
      <c r="AA14">
        <f t="shared" si="3"/>
        <v>672</v>
      </c>
      <c r="AC14">
        <f>Numbers!HA14</f>
        <v>6</v>
      </c>
      <c r="AD14">
        <f>Numbers!AT14</f>
        <v>2</v>
      </c>
      <c r="AE14" s="27">
        <f>Numbers!HP14</f>
        <v>5380</v>
      </c>
      <c r="AF14">
        <v>1</v>
      </c>
      <c r="AG14">
        <f t="shared" si="12"/>
        <v>10</v>
      </c>
      <c r="AH14">
        <f t="shared" si="13"/>
        <v>0.1</v>
      </c>
      <c r="AI14">
        <f t="shared" si="4"/>
        <v>538</v>
      </c>
      <c r="AK14">
        <f>Numbers!IK14</f>
        <v>8</v>
      </c>
      <c r="AL14">
        <v>1</v>
      </c>
      <c r="AM14">
        <f t="shared" si="14"/>
        <v>10</v>
      </c>
      <c r="AN14">
        <v>17</v>
      </c>
      <c r="AP14">
        <f>Numbers!OJ14</f>
        <v>9</v>
      </c>
      <c r="AQ14">
        <v>1</v>
      </c>
      <c r="AR14">
        <f t="shared" si="16"/>
        <v>10</v>
      </c>
      <c r="AS14">
        <v>20</v>
      </c>
    </row>
    <row r="15" spans="1:45">
      <c r="A15" s="68">
        <f>Numbers!MO15</f>
        <v>11</v>
      </c>
      <c r="B15" s="68">
        <f>Numbers!BL15</f>
        <v>4</v>
      </c>
      <c r="C15" s="25">
        <v>1</v>
      </c>
      <c r="D15" s="25">
        <f t="shared" si="5"/>
        <v>20</v>
      </c>
      <c r="E15">
        <f t="shared" si="0"/>
        <v>80</v>
      </c>
      <c r="F15">
        <f t="shared" si="1"/>
        <v>145</v>
      </c>
      <c r="H15">
        <f>Numbers!A15</f>
        <v>13</v>
      </c>
      <c r="I15">
        <v>1</v>
      </c>
      <c r="J15">
        <f t="shared" si="6"/>
        <v>13</v>
      </c>
      <c r="K15">
        <f t="shared" si="7"/>
        <v>8</v>
      </c>
      <c r="M15">
        <f>Numbers!EE15</f>
        <v>13</v>
      </c>
      <c r="N15">
        <f>Numbers!AL15</f>
        <v>4</v>
      </c>
      <c r="O15" s="27">
        <f>Numbers!ET15</f>
        <v>8060</v>
      </c>
      <c r="P15">
        <v>1</v>
      </c>
      <c r="Q15">
        <f t="shared" si="8"/>
        <v>11</v>
      </c>
      <c r="R15">
        <f t="shared" si="9"/>
        <v>0.1</v>
      </c>
      <c r="S15">
        <f t="shared" si="2"/>
        <v>806</v>
      </c>
      <c r="U15">
        <f>Numbers!FP15</f>
        <v>13</v>
      </c>
      <c r="V15">
        <f>Numbers!AP15</f>
        <v>4</v>
      </c>
      <c r="W15" s="27">
        <f>Numbers!GE15</f>
        <v>8060</v>
      </c>
      <c r="X15">
        <v>1</v>
      </c>
      <c r="Y15">
        <f t="shared" si="10"/>
        <v>11</v>
      </c>
      <c r="Z15">
        <f t="shared" si="11"/>
        <v>0.1</v>
      </c>
      <c r="AA15">
        <f t="shared" si="3"/>
        <v>806</v>
      </c>
      <c r="AC15">
        <f>Numbers!HA15</f>
        <v>7</v>
      </c>
      <c r="AD15">
        <f>Numbers!AT15</f>
        <v>2</v>
      </c>
      <c r="AE15" s="27">
        <f>Numbers!HP15</f>
        <v>6450</v>
      </c>
      <c r="AF15">
        <v>1</v>
      </c>
      <c r="AG15">
        <f t="shared" si="12"/>
        <v>11</v>
      </c>
      <c r="AH15">
        <f t="shared" si="13"/>
        <v>0.1</v>
      </c>
      <c r="AI15">
        <f t="shared" si="4"/>
        <v>645</v>
      </c>
      <c r="AK15">
        <f>Numbers!IK15</f>
        <v>9</v>
      </c>
      <c r="AL15">
        <v>1</v>
      </c>
      <c r="AM15">
        <f t="shared" si="14"/>
        <v>11</v>
      </c>
      <c r="AN15">
        <f t="shared" si="15"/>
        <v>17</v>
      </c>
      <c r="AP15">
        <f>Numbers!OJ15</f>
        <v>10</v>
      </c>
      <c r="AQ15">
        <v>1</v>
      </c>
      <c r="AR15">
        <f t="shared" si="16"/>
        <v>11</v>
      </c>
      <c r="AS15">
        <f t="shared" si="17"/>
        <v>20</v>
      </c>
    </row>
    <row r="16" spans="1:45">
      <c r="A16" s="68">
        <f>Numbers!MO16</f>
        <v>12</v>
      </c>
      <c r="B16" s="68">
        <f>Numbers!BL16</f>
        <v>4</v>
      </c>
      <c r="C16" s="25">
        <v>1</v>
      </c>
      <c r="D16" s="25">
        <f t="shared" si="5"/>
        <v>21</v>
      </c>
      <c r="E16">
        <f t="shared" si="0"/>
        <v>84</v>
      </c>
      <c r="F16">
        <f t="shared" si="1"/>
        <v>158</v>
      </c>
      <c r="H16">
        <f>Numbers!A16</f>
        <v>14</v>
      </c>
      <c r="I16">
        <v>1</v>
      </c>
      <c r="J16">
        <f t="shared" si="6"/>
        <v>14</v>
      </c>
      <c r="K16">
        <f t="shared" si="7"/>
        <v>8</v>
      </c>
      <c r="M16">
        <f>Numbers!EE16</f>
        <v>14</v>
      </c>
      <c r="N16">
        <f>Numbers!AL16</f>
        <v>4</v>
      </c>
      <c r="O16" s="27">
        <f>Numbers!ET16</f>
        <v>9670</v>
      </c>
      <c r="P16">
        <v>1</v>
      </c>
      <c r="Q16">
        <f t="shared" si="8"/>
        <v>12</v>
      </c>
      <c r="R16">
        <f t="shared" si="9"/>
        <v>0.1</v>
      </c>
      <c r="S16">
        <f t="shared" si="2"/>
        <v>967</v>
      </c>
      <c r="U16">
        <f>Numbers!FP16</f>
        <v>14</v>
      </c>
      <c r="V16">
        <f>Numbers!AP16</f>
        <v>4</v>
      </c>
      <c r="W16" s="27">
        <f>Numbers!GE16</f>
        <v>9670</v>
      </c>
      <c r="X16">
        <v>1</v>
      </c>
      <c r="Y16">
        <f t="shared" si="10"/>
        <v>12</v>
      </c>
      <c r="Z16">
        <f t="shared" si="11"/>
        <v>0.1</v>
      </c>
      <c r="AA16">
        <f t="shared" si="3"/>
        <v>967</v>
      </c>
      <c r="AC16">
        <f>Numbers!HA16</f>
        <v>8</v>
      </c>
      <c r="AD16">
        <f>Numbers!AT16</f>
        <v>2</v>
      </c>
      <c r="AE16" s="27">
        <f>Numbers!HP16</f>
        <v>7740</v>
      </c>
      <c r="AF16">
        <v>1</v>
      </c>
      <c r="AG16">
        <f t="shared" si="12"/>
        <v>12</v>
      </c>
      <c r="AH16">
        <f t="shared" si="13"/>
        <v>0.1</v>
      </c>
      <c r="AI16">
        <f t="shared" si="4"/>
        <v>774</v>
      </c>
      <c r="AK16">
        <f>Numbers!IK16</f>
        <v>10</v>
      </c>
      <c r="AL16">
        <v>1</v>
      </c>
      <c r="AM16">
        <f t="shared" si="14"/>
        <v>12</v>
      </c>
      <c r="AN16">
        <f t="shared" si="15"/>
        <v>17</v>
      </c>
      <c r="AP16">
        <f>Numbers!OJ16</f>
        <v>11</v>
      </c>
      <c r="AQ16">
        <v>1</v>
      </c>
      <c r="AR16">
        <f t="shared" si="16"/>
        <v>12</v>
      </c>
      <c r="AS16">
        <f t="shared" si="17"/>
        <v>20</v>
      </c>
    </row>
    <row r="17" spans="1:45">
      <c r="A17" s="68">
        <f>Numbers!MO17</f>
        <v>13</v>
      </c>
      <c r="B17" s="68">
        <f>Numbers!BL17</f>
        <v>4</v>
      </c>
      <c r="C17" s="25">
        <v>1</v>
      </c>
      <c r="D17" s="25">
        <f t="shared" si="5"/>
        <v>22</v>
      </c>
      <c r="E17">
        <f t="shared" si="0"/>
        <v>88</v>
      </c>
      <c r="F17">
        <f t="shared" si="1"/>
        <v>171</v>
      </c>
      <c r="H17">
        <f>Numbers!A17</f>
        <v>15</v>
      </c>
      <c r="I17">
        <v>1</v>
      </c>
      <c r="J17">
        <f t="shared" si="6"/>
        <v>15</v>
      </c>
      <c r="K17">
        <f t="shared" si="7"/>
        <v>8</v>
      </c>
      <c r="M17">
        <f>Numbers!EE17</f>
        <v>15</v>
      </c>
      <c r="N17">
        <f>Numbers!AL17</f>
        <v>4</v>
      </c>
      <c r="O17" s="27">
        <f>Numbers!ET17</f>
        <v>11600</v>
      </c>
      <c r="P17">
        <v>1</v>
      </c>
      <c r="Q17">
        <f t="shared" si="8"/>
        <v>13</v>
      </c>
      <c r="R17">
        <f t="shared" si="9"/>
        <v>0.1</v>
      </c>
      <c r="S17">
        <f t="shared" si="2"/>
        <v>1160</v>
      </c>
      <c r="U17">
        <f>Numbers!FP17</f>
        <v>15</v>
      </c>
      <c r="V17">
        <f>Numbers!AP17</f>
        <v>4</v>
      </c>
      <c r="W17" s="27">
        <f>Numbers!GE17</f>
        <v>11600</v>
      </c>
      <c r="X17">
        <v>1</v>
      </c>
      <c r="Y17">
        <f t="shared" si="10"/>
        <v>13</v>
      </c>
      <c r="Z17">
        <f t="shared" si="11"/>
        <v>0.1</v>
      </c>
      <c r="AA17">
        <f t="shared" si="3"/>
        <v>1160</v>
      </c>
      <c r="AC17">
        <f>Numbers!HA17</f>
        <v>9</v>
      </c>
      <c r="AD17">
        <f>Numbers!AT17</f>
        <v>2</v>
      </c>
      <c r="AE17" s="27">
        <f>Numbers!HP17</f>
        <v>9280</v>
      </c>
      <c r="AF17">
        <v>1</v>
      </c>
      <c r="AG17">
        <f t="shared" si="12"/>
        <v>13</v>
      </c>
      <c r="AH17">
        <f t="shared" si="13"/>
        <v>0.1</v>
      </c>
      <c r="AI17">
        <f t="shared" si="4"/>
        <v>928</v>
      </c>
      <c r="AK17">
        <f>Numbers!IK17</f>
        <v>11</v>
      </c>
      <c r="AL17">
        <v>1</v>
      </c>
      <c r="AM17">
        <f t="shared" si="14"/>
        <v>13</v>
      </c>
      <c r="AN17">
        <f t="shared" si="15"/>
        <v>17</v>
      </c>
      <c r="AP17">
        <f>Numbers!OJ17</f>
        <v>12</v>
      </c>
      <c r="AQ17">
        <v>1</v>
      </c>
      <c r="AR17">
        <f t="shared" si="16"/>
        <v>13</v>
      </c>
      <c r="AS17">
        <f t="shared" si="17"/>
        <v>20</v>
      </c>
    </row>
  </sheetData>
  <mergeCells count="3">
    <mergeCell ref="A1:D1"/>
    <mergeCell ref="M1:O1"/>
    <mergeCell ref="U1:W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B2:Z57"/>
  <sheetViews>
    <sheetView topLeftCell="A6" workbookViewId="0">
      <selection activeCell="N43" sqref="N43"/>
    </sheetView>
  </sheetViews>
  <sheetFormatPr baseColWidth="10" defaultColWidth="6.1640625" defaultRowHeight="15" x14ac:dyDescent="0"/>
  <sheetData>
    <row r="2" spans="2:26">
      <c r="C2" s="114" t="s">
        <v>59</v>
      </c>
      <c r="D2" s="114"/>
      <c r="E2" s="114"/>
      <c r="F2" s="114" t="s">
        <v>64</v>
      </c>
      <c r="G2" s="114"/>
      <c r="H2" s="114"/>
      <c r="I2" s="114" t="s">
        <v>65</v>
      </c>
      <c r="J2" s="114"/>
      <c r="K2" s="114"/>
    </row>
    <row r="3" spans="2:26">
      <c r="B3" s="115" t="s">
        <v>61</v>
      </c>
      <c r="C3" t="s">
        <v>60</v>
      </c>
      <c r="D3" t="s">
        <v>61</v>
      </c>
      <c r="E3" t="s">
        <v>62</v>
      </c>
      <c r="F3" t="s">
        <v>60</v>
      </c>
      <c r="G3" t="s">
        <v>61</v>
      </c>
      <c r="H3" t="s">
        <v>62</v>
      </c>
      <c r="I3" t="s">
        <v>60</v>
      </c>
      <c r="J3" t="s">
        <v>61</v>
      </c>
      <c r="K3" t="s">
        <v>62</v>
      </c>
    </row>
    <row r="4" spans="2:26">
      <c r="B4" s="115"/>
      <c r="C4">
        <v>4</v>
      </c>
      <c r="D4">
        <v>3</v>
      </c>
      <c r="E4">
        <v>4</v>
      </c>
      <c r="F4">
        <v>5</v>
      </c>
      <c r="G4">
        <v>3</v>
      </c>
      <c r="H4">
        <v>4</v>
      </c>
      <c r="I4">
        <v>3</v>
      </c>
      <c r="J4">
        <v>2</v>
      </c>
      <c r="K4">
        <v>5</v>
      </c>
    </row>
    <row r="5" spans="2:26">
      <c r="B5" s="115"/>
      <c r="C5">
        <v>9</v>
      </c>
      <c r="D5">
        <v>6</v>
      </c>
      <c r="E5">
        <v>9</v>
      </c>
      <c r="F5">
        <v>10</v>
      </c>
      <c r="G5">
        <v>6</v>
      </c>
      <c r="H5">
        <v>9</v>
      </c>
      <c r="I5">
        <v>10</v>
      </c>
      <c r="J5">
        <v>6</v>
      </c>
      <c r="K5">
        <v>9</v>
      </c>
    </row>
    <row r="8" spans="2:26">
      <c r="C8" s="114" t="s">
        <v>2</v>
      </c>
      <c r="D8" s="114"/>
      <c r="E8" s="114"/>
      <c r="F8" s="114"/>
      <c r="G8" s="114" t="s">
        <v>1</v>
      </c>
      <c r="H8" s="114"/>
      <c r="I8" s="114"/>
      <c r="J8" s="114"/>
      <c r="K8" s="114" t="s">
        <v>3</v>
      </c>
      <c r="L8" s="114"/>
      <c r="M8" s="114"/>
      <c r="N8" s="114"/>
      <c r="O8" s="114" t="s">
        <v>4</v>
      </c>
      <c r="P8" s="114"/>
      <c r="Q8" s="114"/>
      <c r="R8" s="114"/>
      <c r="S8" s="114" t="s">
        <v>5</v>
      </c>
      <c r="T8" s="114"/>
      <c r="U8" s="114"/>
      <c r="V8" s="114"/>
      <c r="W8" s="114" t="s">
        <v>6</v>
      </c>
      <c r="X8" s="114"/>
      <c r="Y8" s="114"/>
      <c r="Z8" s="114"/>
    </row>
    <row r="9" spans="2:26">
      <c r="B9" s="115" t="s">
        <v>67</v>
      </c>
      <c r="C9" s="114" t="s">
        <v>59</v>
      </c>
      <c r="D9" s="114"/>
      <c r="E9" s="114" t="s">
        <v>65</v>
      </c>
      <c r="F9" s="114"/>
      <c r="G9" s="114" t="s">
        <v>59</v>
      </c>
      <c r="H9" s="114"/>
      <c r="I9" s="114" t="s">
        <v>65</v>
      </c>
      <c r="J9" s="114"/>
      <c r="K9" s="114" t="s">
        <v>59</v>
      </c>
      <c r="L9" s="114"/>
      <c r="M9" s="114" t="s">
        <v>65</v>
      </c>
      <c r="N9" s="114"/>
      <c r="O9" s="114" t="s">
        <v>59</v>
      </c>
      <c r="P9" s="114"/>
      <c r="Q9" s="114" t="s">
        <v>65</v>
      </c>
      <c r="R9" s="114"/>
      <c r="S9" s="114" t="s">
        <v>59</v>
      </c>
      <c r="T9" s="114"/>
      <c r="U9" s="114" t="s">
        <v>65</v>
      </c>
      <c r="V9" s="114"/>
      <c r="W9" s="114" t="s">
        <v>59</v>
      </c>
      <c r="X9" s="114"/>
      <c r="Y9" s="114" t="s">
        <v>65</v>
      </c>
      <c r="Z9" s="114"/>
    </row>
    <row r="10" spans="2:26">
      <c r="B10" s="115"/>
      <c r="D10">
        <v>3</v>
      </c>
      <c r="F10">
        <v>2</v>
      </c>
      <c r="H10">
        <v>3</v>
      </c>
      <c r="J10">
        <v>4</v>
      </c>
      <c r="L10">
        <v>3</v>
      </c>
      <c r="N10">
        <v>4</v>
      </c>
      <c r="P10">
        <v>3</v>
      </c>
      <c r="R10">
        <v>4</v>
      </c>
      <c r="T10">
        <v>1.6</v>
      </c>
      <c r="V10">
        <v>4</v>
      </c>
      <c r="X10">
        <v>1.8</v>
      </c>
      <c r="Z10">
        <v>4</v>
      </c>
    </row>
    <row r="11" spans="2:26">
      <c r="B11" s="115"/>
      <c r="C11">
        <v>5</v>
      </c>
      <c r="D11">
        <v>2</v>
      </c>
      <c r="E11">
        <v>7</v>
      </c>
      <c r="F11">
        <v>1.5</v>
      </c>
      <c r="G11">
        <v>4</v>
      </c>
      <c r="H11">
        <v>1.8</v>
      </c>
      <c r="I11">
        <v>7</v>
      </c>
      <c r="J11">
        <v>2</v>
      </c>
      <c r="K11">
        <v>4</v>
      </c>
      <c r="L11">
        <v>1.8</v>
      </c>
      <c r="M11">
        <v>10</v>
      </c>
      <c r="N11">
        <v>2</v>
      </c>
      <c r="O11">
        <v>5</v>
      </c>
      <c r="P11">
        <v>1.8</v>
      </c>
      <c r="Q11">
        <v>9</v>
      </c>
      <c r="R11">
        <v>2</v>
      </c>
      <c r="S11">
        <v>5</v>
      </c>
      <c r="T11">
        <v>1.5</v>
      </c>
      <c r="U11">
        <v>3</v>
      </c>
      <c r="V11">
        <v>2</v>
      </c>
      <c r="W11">
        <v>5</v>
      </c>
      <c r="X11">
        <v>1.8</v>
      </c>
      <c r="Y11">
        <v>4</v>
      </c>
      <c r="Z11">
        <v>2</v>
      </c>
    </row>
    <row r="12" spans="2:26">
      <c r="B12" s="115"/>
      <c r="C12">
        <v>8</v>
      </c>
      <c r="D12">
        <v>1.2</v>
      </c>
      <c r="E12">
        <v>9</v>
      </c>
      <c r="F12">
        <v>1.2</v>
      </c>
      <c r="G12">
        <v>8</v>
      </c>
      <c r="H12">
        <v>1.3</v>
      </c>
      <c r="I12">
        <v>9</v>
      </c>
      <c r="J12">
        <v>1.5</v>
      </c>
      <c r="K12">
        <v>8</v>
      </c>
      <c r="L12">
        <v>1.5</v>
      </c>
      <c r="M12">
        <v>13</v>
      </c>
      <c r="N12">
        <v>1.5</v>
      </c>
      <c r="O12">
        <v>7</v>
      </c>
      <c r="P12">
        <v>1.5</v>
      </c>
      <c r="Q12">
        <v>10</v>
      </c>
      <c r="R12">
        <v>1.5</v>
      </c>
      <c r="S12">
        <v>7</v>
      </c>
      <c r="T12">
        <v>1.5</v>
      </c>
      <c r="U12">
        <v>6</v>
      </c>
      <c r="V12">
        <v>1.5</v>
      </c>
      <c r="W12">
        <v>7</v>
      </c>
      <c r="X12">
        <v>1.2</v>
      </c>
      <c r="Y12">
        <v>6</v>
      </c>
      <c r="Z12">
        <v>1.5</v>
      </c>
    </row>
    <row r="15" spans="2:26">
      <c r="C15" s="116" t="s">
        <v>7</v>
      </c>
      <c r="D15" s="116"/>
      <c r="E15" s="116"/>
      <c r="F15" s="116"/>
      <c r="G15" s="116" t="s">
        <v>8</v>
      </c>
      <c r="H15" s="116"/>
      <c r="I15" s="116"/>
      <c r="J15" s="116"/>
      <c r="K15" s="116" t="s">
        <v>9</v>
      </c>
      <c r="L15" s="116"/>
      <c r="M15" s="116"/>
      <c r="N15" s="116"/>
      <c r="O15" s="116" t="s">
        <v>33</v>
      </c>
      <c r="P15" s="116"/>
      <c r="Q15" s="116"/>
      <c r="R15" s="116"/>
      <c r="S15" s="116" t="s">
        <v>36</v>
      </c>
      <c r="T15" s="116"/>
      <c r="U15" s="116"/>
      <c r="V15" s="116"/>
      <c r="W15" s="116" t="s">
        <v>27</v>
      </c>
      <c r="X15" s="116"/>
      <c r="Y15" s="116"/>
      <c r="Z15" s="116"/>
    </row>
    <row r="16" spans="2:26">
      <c r="B16" s="115" t="s">
        <v>67</v>
      </c>
      <c r="C16" s="114" t="s">
        <v>59</v>
      </c>
      <c r="D16" s="114"/>
      <c r="E16" s="114" t="s">
        <v>65</v>
      </c>
      <c r="F16" s="114"/>
      <c r="G16" s="114" t="s">
        <v>59</v>
      </c>
      <c r="H16" s="114"/>
      <c r="I16" s="114" t="s">
        <v>65</v>
      </c>
      <c r="J16" s="114"/>
      <c r="K16" s="114" t="s">
        <v>59</v>
      </c>
      <c r="L16" s="114"/>
      <c r="M16" s="114" t="s">
        <v>65</v>
      </c>
      <c r="N16" s="114"/>
      <c r="O16" s="114" t="s">
        <v>59</v>
      </c>
      <c r="P16" s="114"/>
      <c r="Q16" s="114" t="s">
        <v>65</v>
      </c>
      <c r="R16" s="114"/>
      <c r="S16" s="114" t="s">
        <v>59</v>
      </c>
      <c r="T16" s="114"/>
      <c r="U16" s="114" t="s">
        <v>65</v>
      </c>
      <c r="V16" s="114"/>
      <c r="W16" s="114" t="s">
        <v>59</v>
      </c>
      <c r="X16" s="114"/>
      <c r="Y16" s="114" t="s">
        <v>65</v>
      </c>
      <c r="Z16" s="114"/>
    </row>
    <row r="17" spans="2:26">
      <c r="B17" s="115"/>
      <c r="D17">
        <v>2.5</v>
      </c>
      <c r="F17">
        <v>2</v>
      </c>
      <c r="H17">
        <v>3</v>
      </c>
      <c r="J17">
        <v>2</v>
      </c>
      <c r="L17">
        <v>1.5</v>
      </c>
      <c r="N17">
        <v>2</v>
      </c>
      <c r="P17">
        <v>2.5</v>
      </c>
      <c r="R17">
        <v>2.5</v>
      </c>
      <c r="T17">
        <v>1.6</v>
      </c>
      <c r="V17">
        <v>2</v>
      </c>
      <c r="X17">
        <v>1.8</v>
      </c>
      <c r="Z17">
        <v>4</v>
      </c>
    </row>
    <row r="18" spans="2:26">
      <c r="B18" s="115"/>
      <c r="C18">
        <v>5</v>
      </c>
      <c r="D18">
        <v>2</v>
      </c>
      <c r="E18">
        <v>7</v>
      </c>
      <c r="F18">
        <v>2</v>
      </c>
      <c r="G18">
        <v>3</v>
      </c>
      <c r="H18">
        <v>1.5</v>
      </c>
      <c r="I18">
        <v>6</v>
      </c>
      <c r="J18">
        <v>1.5</v>
      </c>
      <c r="K18">
        <v>4</v>
      </c>
      <c r="L18">
        <v>1.5</v>
      </c>
      <c r="M18">
        <v>10</v>
      </c>
      <c r="N18">
        <v>1.2</v>
      </c>
      <c r="O18">
        <v>4</v>
      </c>
      <c r="P18">
        <v>1.8</v>
      </c>
      <c r="Q18">
        <v>9</v>
      </c>
      <c r="R18">
        <v>1.5</v>
      </c>
      <c r="S18">
        <v>5</v>
      </c>
      <c r="T18">
        <v>1.5</v>
      </c>
      <c r="U18">
        <v>10</v>
      </c>
      <c r="V18">
        <v>1.5</v>
      </c>
      <c r="W18">
        <v>5</v>
      </c>
      <c r="X18">
        <v>1.8</v>
      </c>
      <c r="Y18">
        <v>5</v>
      </c>
      <c r="Z18">
        <v>2</v>
      </c>
    </row>
    <row r="19" spans="2:26">
      <c r="B19" s="115"/>
      <c r="C19">
        <v>8</v>
      </c>
      <c r="D19">
        <v>1.2</v>
      </c>
      <c r="E19">
        <v>9</v>
      </c>
      <c r="F19">
        <v>1.5</v>
      </c>
      <c r="G19">
        <v>7</v>
      </c>
      <c r="H19">
        <v>1.3</v>
      </c>
      <c r="I19">
        <v>9</v>
      </c>
      <c r="J19">
        <v>1.5</v>
      </c>
      <c r="K19">
        <v>8</v>
      </c>
      <c r="L19">
        <v>1.2</v>
      </c>
      <c r="M19">
        <v>13</v>
      </c>
      <c r="N19">
        <v>1.2</v>
      </c>
      <c r="O19">
        <v>6</v>
      </c>
      <c r="P19">
        <v>1.5</v>
      </c>
      <c r="Q19">
        <v>10</v>
      </c>
      <c r="R19">
        <v>1.3</v>
      </c>
      <c r="S19">
        <v>7</v>
      </c>
      <c r="T19">
        <v>1.5</v>
      </c>
      <c r="U19">
        <v>12</v>
      </c>
      <c r="V19">
        <v>1.5</v>
      </c>
      <c r="W19">
        <v>7</v>
      </c>
      <c r="X19">
        <v>1.2</v>
      </c>
      <c r="Y19">
        <v>8</v>
      </c>
      <c r="Z19">
        <v>1.5</v>
      </c>
    </row>
    <row r="23" spans="2:26">
      <c r="C23" s="116" t="s">
        <v>28</v>
      </c>
      <c r="D23" s="116"/>
      <c r="E23" s="116"/>
      <c r="F23" s="116"/>
      <c r="G23" s="116"/>
      <c r="H23" s="116"/>
      <c r="I23" s="116"/>
      <c r="J23" s="116"/>
      <c r="K23" s="116" t="s">
        <v>31</v>
      </c>
      <c r="L23" s="116"/>
      <c r="M23" s="116"/>
      <c r="N23" s="116"/>
      <c r="O23" s="116" t="s">
        <v>0</v>
      </c>
      <c r="P23" s="116"/>
      <c r="Q23" s="116"/>
      <c r="R23" s="116"/>
      <c r="S23" s="116"/>
      <c r="T23" s="116"/>
      <c r="U23" s="116"/>
      <c r="V23" s="116"/>
      <c r="W23" s="114"/>
      <c r="X23" s="114"/>
      <c r="Y23" s="114"/>
      <c r="Z23" s="114"/>
    </row>
    <row r="24" spans="2:26">
      <c r="B24" s="115" t="s">
        <v>67</v>
      </c>
      <c r="C24" s="114" t="s">
        <v>59</v>
      </c>
      <c r="D24" s="114"/>
      <c r="E24" s="114" t="s">
        <v>65</v>
      </c>
      <c r="F24" s="114"/>
      <c r="G24" s="114"/>
      <c r="H24" s="114"/>
      <c r="I24" s="114"/>
      <c r="J24" s="114"/>
      <c r="K24" s="114" t="s">
        <v>59</v>
      </c>
      <c r="L24" s="114"/>
      <c r="M24" s="114" t="s">
        <v>65</v>
      </c>
      <c r="N24" s="114"/>
      <c r="O24" s="114" t="s">
        <v>59</v>
      </c>
      <c r="P24" s="114"/>
      <c r="Q24" s="114" t="s">
        <v>65</v>
      </c>
      <c r="R24" s="114"/>
      <c r="S24" s="114"/>
      <c r="T24" s="114"/>
      <c r="U24" s="114"/>
      <c r="V24" s="114"/>
      <c r="W24" s="114"/>
      <c r="X24" s="114"/>
      <c r="Y24" s="114"/>
      <c r="Z24" s="114"/>
    </row>
    <row r="25" spans="2:26">
      <c r="B25" s="115"/>
      <c r="D25">
        <v>2</v>
      </c>
      <c r="F25">
        <v>2</v>
      </c>
      <c r="L25">
        <v>2</v>
      </c>
      <c r="N25">
        <v>2</v>
      </c>
      <c r="P25">
        <v>2</v>
      </c>
      <c r="R25">
        <v>1.5</v>
      </c>
    </row>
    <row r="26" spans="2:26">
      <c r="B26" s="115"/>
      <c r="C26">
        <v>5</v>
      </c>
      <c r="D26">
        <v>1.2</v>
      </c>
      <c r="E26">
        <v>6</v>
      </c>
      <c r="F26">
        <v>1.8</v>
      </c>
      <c r="K26">
        <v>4</v>
      </c>
      <c r="L26">
        <v>1.3</v>
      </c>
      <c r="M26">
        <v>4</v>
      </c>
      <c r="N26">
        <v>1.5</v>
      </c>
      <c r="O26">
        <v>5</v>
      </c>
      <c r="P26">
        <v>1.5</v>
      </c>
      <c r="Q26">
        <v>6</v>
      </c>
      <c r="R26">
        <v>2</v>
      </c>
    </row>
    <row r="27" spans="2:26">
      <c r="B27" s="115"/>
      <c r="C27">
        <v>8</v>
      </c>
      <c r="D27">
        <v>1.2</v>
      </c>
      <c r="E27">
        <v>10</v>
      </c>
      <c r="F27">
        <v>1.2</v>
      </c>
      <c r="K27">
        <v>8</v>
      </c>
      <c r="L27">
        <v>1.1000000000000001</v>
      </c>
      <c r="M27">
        <v>13</v>
      </c>
      <c r="N27">
        <v>1.5</v>
      </c>
      <c r="O27">
        <v>9</v>
      </c>
      <c r="P27">
        <v>1.4</v>
      </c>
      <c r="Q27">
        <v>9</v>
      </c>
      <c r="R27">
        <v>1.6</v>
      </c>
    </row>
    <row r="31" spans="2:26">
      <c r="C31" s="114" t="s">
        <v>10</v>
      </c>
      <c r="D31" s="114"/>
      <c r="E31" s="114"/>
      <c r="F31" s="114"/>
      <c r="G31" s="114" t="s">
        <v>11</v>
      </c>
      <c r="H31" s="114"/>
      <c r="I31" s="114"/>
      <c r="J31" s="114"/>
      <c r="K31" s="114" t="s">
        <v>12</v>
      </c>
      <c r="L31" s="114"/>
      <c r="M31" s="114"/>
      <c r="N31" s="114"/>
      <c r="O31" s="114" t="s">
        <v>35</v>
      </c>
      <c r="P31" s="114"/>
      <c r="Q31" s="114"/>
      <c r="R31" s="114"/>
      <c r="S31" s="114" t="s">
        <v>30</v>
      </c>
      <c r="T31" s="114"/>
      <c r="U31" s="114"/>
      <c r="V31" s="114"/>
      <c r="W31" s="114"/>
      <c r="X31" s="114"/>
      <c r="Y31" s="114"/>
      <c r="Z31" s="114"/>
    </row>
    <row r="32" spans="2:26">
      <c r="B32" s="115" t="s">
        <v>67</v>
      </c>
      <c r="C32" s="114" t="s">
        <v>59</v>
      </c>
      <c r="D32" s="114"/>
      <c r="E32" s="114" t="s">
        <v>65</v>
      </c>
      <c r="F32" s="114"/>
      <c r="G32" s="114" t="s">
        <v>59</v>
      </c>
      <c r="H32" s="114"/>
      <c r="I32" s="114" t="s">
        <v>65</v>
      </c>
      <c r="J32" s="114"/>
      <c r="K32" s="114" t="s">
        <v>59</v>
      </c>
      <c r="L32" s="114"/>
      <c r="M32" s="114" t="s">
        <v>65</v>
      </c>
      <c r="N32" s="114"/>
      <c r="O32" s="114" t="s">
        <v>59</v>
      </c>
      <c r="P32" s="114"/>
      <c r="Q32" s="114" t="s">
        <v>65</v>
      </c>
      <c r="R32" s="114"/>
      <c r="S32" s="114" t="s">
        <v>59</v>
      </c>
      <c r="T32" s="114"/>
      <c r="U32" s="114" t="s">
        <v>65</v>
      </c>
      <c r="V32" s="114"/>
      <c r="W32" s="114"/>
      <c r="X32" s="114"/>
      <c r="Y32" s="114"/>
      <c r="Z32" s="114"/>
    </row>
    <row r="33" spans="2:22">
      <c r="B33" s="115"/>
      <c r="D33">
        <v>2</v>
      </c>
      <c r="F33">
        <v>2</v>
      </c>
      <c r="H33">
        <v>1.8</v>
      </c>
      <c r="J33">
        <v>2</v>
      </c>
      <c r="L33">
        <v>3</v>
      </c>
      <c r="N33">
        <v>4</v>
      </c>
      <c r="P33">
        <v>1.6</v>
      </c>
      <c r="R33">
        <v>1.8</v>
      </c>
      <c r="T33">
        <v>1.8</v>
      </c>
      <c r="V33">
        <v>2</v>
      </c>
    </row>
    <row r="34" spans="2:22">
      <c r="B34" s="115"/>
      <c r="C34">
        <v>5</v>
      </c>
      <c r="D34">
        <v>1.8</v>
      </c>
      <c r="E34">
        <v>10</v>
      </c>
      <c r="F34">
        <v>1.5</v>
      </c>
      <c r="G34">
        <v>3</v>
      </c>
      <c r="H34">
        <v>1.5</v>
      </c>
      <c r="I34">
        <v>3</v>
      </c>
      <c r="J34">
        <v>1.5</v>
      </c>
      <c r="K34">
        <v>4</v>
      </c>
      <c r="L34">
        <v>1.8</v>
      </c>
      <c r="M34">
        <v>10</v>
      </c>
      <c r="N34">
        <v>2</v>
      </c>
      <c r="O34">
        <v>3</v>
      </c>
      <c r="P34">
        <v>1.3</v>
      </c>
      <c r="Q34">
        <v>3</v>
      </c>
      <c r="R34">
        <v>1.4</v>
      </c>
      <c r="S34">
        <v>4</v>
      </c>
      <c r="T34">
        <v>1.4</v>
      </c>
      <c r="U34">
        <v>4</v>
      </c>
      <c r="V34">
        <v>1.5</v>
      </c>
    </row>
    <row r="35" spans="2:22">
      <c r="B35" s="115"/>
      <c r="C35">
        <v>8</v>
      </c>
      <c r="D35">
        <v>1.5</v>
      </c>
      <c r="E35">
        <v>15</v>
      </c>
      <c r="F35">
        <v>1.2</v>
      </c>
      <c r="G35">
        <v>6</v>
      </c>
      <c r="H35">
        <v>1.2</v>
      </c>
      <c r="I35">
        <v>15</v>
      </c>
      <c r="J35">
        <v>1.2</v>
      </c>
      <c r="K35">
        <v>8</v>
      </c>
      <c r="L35">
        <v>1.5</v>
      </c>
      <c r="M35">
        <v>13</v>
      </c>
      <c r="N35">
        <v>1.5</v>
      </c>
      <c r="O35">
        <v>7</v>
      </c>
      <c r="P35">
        <v>1.2</v>
      </c>
      <c r="Q35">
        <v>10</v>
      </c>
      <c r="R35">
        <v>1.5</v>
      </c>
      <c r="S35">
        <v>6</v>
      </c>
      <c r="T35">
        <v>1.3</v>
      </c>
      <c r="U35">
        <v>6</v>
      </c>
      <c r="V35">
        <v>1.2</v>
      </c>
    </row>
    <row r="38" spans="2:22">
      <c r="C38" s="114" t="s">
        <v>70</v>
      </c>
      <c r="D38" s="114"/>
    </row>
    <row r="39" spans="2:22">
      <c r="B39" s="115" t="s">
        <v>69</v>
      </c>
      <c r="D39">
        <v>1.5</v>
      </c>
    </row>
    <row r="40" spans="2:22">
      <c r="B40" s="115"/>
      <c r="C40">
        <v>5</v>
      </c>
      <c r="D40">
        <v>1.2</v>
      </c>
    </row>
    <row r="41" spans="2:22">
      <c r="B41" s="115"/>
      <c r="C41">
        <v>10</v>
      </c>
      <c r="D41">
        <v>1.1000000000000001</v>
      </c>
    </row>
    <row r="42" spans="2:22">
      <c r="B42" s="115"/>
    </row>
    <row r="44" spans="2:22">
      <c r="C44" s="114" t="s">
        <v>70</v>
      </c>
      <c r="D44" s="114"/>
    </row>
    <row r="45" spans="2:22">
      <c r="B45" s="115" t="s">
        <v>82</v>
      </c>
      <c r="D45">
        <v>1.4</v>
      </c>
    </row>
    <row r="46" spans="2:22">
      <c r="B46" s="115"/>
      <c r="C46">
        <v>5</v>
      </c>
      <c r="D46">
        <v>1.3</v>
      </c>
    </row>
    <row r="47" spans="2:22">
      <c r="B47" s="115"/>
      <c r="C47">
        <v>10</v>
      </c>
      <c r="D47">
        <v>1.2</v>
      </c>
    </row>
    <row r="48" spans="2:22">
      <c r="B48" s="115"/>
    </row>
    <row r="50" spans="2:5">
      <c r="C50" s="114" t="s">
        <v>70</v>
      </c>
      <c r="D50" s="114"/>
    </row>
    <row r="51" spans="2:5">
      <c r="B51" s="115" t="s">
        <v>83</v>
      </c>
      <c r="D51">
        <v>2</v>
      </c>
    </row>
    <row r="52" spans="2:5">
      <c r="B52" s="115"/>
      <c r="C52">
        <v>6</v>
      </c>
      <c r="D52">
        <v>1.3</v>
      </c>
    </row>
    <row r="53" spans="2:5">
      <c r="B53" s="115"/>
      <c r="C53">
        <v>10</v>
      </c>
      <c r="D53">
        <v>1.1000000000000001</v>
      </c>
    </row>
    <row r="54" spans="2:5">
      <c r="B54" s="115"/>
    </row>
    <row r="56" spans="2:5">
      <c r="C56" t="s">
        <v>87</v>
      </c>
      <c r="D56" t="s">
        <v>85</v>
      </c>
      <c r="E56" t="s">
        <v>86</v>
      </c>
    </row>
    <row r="57" spans="2:5">
      <c r="B57" t="s">
        <v>84</v>
      </c>
      <c r="C57">
        <v>0.05</v>
      </c>
      <c r="D57">
        <v>2.3E-2</v>
      </c>
      <c r="E57">
        <v>0.03</v>
      </c>
    </row>
  </sheetData>
  <mergeCells count="86">
    <mergeCell ref="B51:B54"/>
    <mergeCell ref="Y32:Z32"/>
    <mergeCell ref="B39:B42"/>
    <mergeCell ref="C38:D38"/>
    <mergeCell ref="C44:D44"/>
    <mergeCell ref="B45:B48"/>
    <mergeCell ref="C50:D50"/>
    <mergeCell ref="M32:N32"/>
    <mergeCell ref="O32:P32"/>
    <mergeCell ref="Q32:R32"/>
    <mergeCell ref="S32:T32"/>
    <mergeCell ref="U32:V32"/>
    <mergeCell ref="W32:X32"/>
    <mergeCell ref="B32:B35"/>
    <mergeCell ref="C32:D32"/>
    <mergeCell ref="E32:F32"/>
    <mergeCell ref="G32:H32"/>
    <mergeCell ref="I32:J32"/>
    <mergeCell ref="K32:L32"/>
    <mergeCell ref="Y24:Z24"/>
    <mergeCell ref="C31:F31"/>
    <mergeCell ref="G31:J31"/>
    <mergeCell ref="K31:N31"/>
    <mergeCell ref="O31:R31"/>
    <mergeCell ref="S31:V31"/>
    <mergeCell ref="W31:Z31"/>
    <mergeCell ref="M24:N24"/>
    <mergeCell ref="O24:P24"/>
    <mergeCell ref="Q24:R24"/>
    <mergeCell ref="S24:T24"/>
    <mergeCell ref="U24:V24"/>
    <mergeCell ref="W24:X24"/>
    <mergeCell ref="B24:B27"/>
    <mergeCell ref="C24:D24"/>
    <mergeCell ref="E24:F24"/>
    <mergeCell ref="G24:H24"/>
    <mergeCell ref="I24:J24"/>
    <mergeCell ref="K24:L24"/>
    <mergeCell ref="Y16:Z16"/>
    <mergeCell ref="C23:F23"/>
    <mergeCell ref="G23:J23"/>
    <mergeCell ref="K23:N23"/>
    <mergeCell ref="O23:R23"/>
    <mergeCell ref="S23:V23"/>
    <mergeCell ref="W23:Z23"/>
    <mergeCell ref="M16:N16"/>
    <mergeCell ref="O16:P16"/>
    <mergeCell ref="Q16:R16"/>
    <mergeCell ref="S16:T16"/>
    <mergeCell ref="U16:V16"/>
    <mergeCell ref="W16:X16"/>
    <mergeCell ref="K16:L16"/>
    <mergeCell ref="B16:B19"/>
    <mergeCell ref="C16:D16"/>
    <mergeCell ref="E16:F16"/>
    <mergeCell ref="G16:H16"/>
    <mergeCell ref="I16:J16"/>
    <mergeCell ref="C15:F15"/>
    <mergeCell ref="G15:J15"/>
    <mergeCell ref="K15:N15"/>
    <mergeCell ref="O15:R15"/>
    <mergeCell ref="S15:V15"/>
    <mergeCell ref="W15:Z15"/>
    <mergeCell ref="B3:B5"/>
    <mergeCell ref="K8:N8"/>
    <mergeCell ref="K9:L9"/>
    <mergeCell ref="M9:N9"/>
    <mergeCell ref="C8:F8"/>
    <mergeCell ref="C9:D9"/>
    <mergeCell ref="E9:F9"/>
    <mergeCell ref="S8:V8"/>
    <mergeCell ref="S9:T9"/>
    <mergeCell ref="U9:V9"/>
    <mergeCell ref="W8:Z8"/>
    <mergeCell ref="W9:X9"/>
    <mergeCell ref="Y9:Z9"/>
    <mergeCell ref="O8:R8"/>
    <mergeCell ref="O9:P9"/>
    <mergeCell ref="Q9:R9"/>
    <mergeCell ref="C2:E2"/>
    <mergeCell ref="F2:H2"/>
    <mergeCell ref="I2:K2"/>
    <mergeCell ref="B9:B12"/>
    <mergeCell ref="G9:H9"/>
    <mergeCell ref="I9:J9"/>
    <mergeCell ref="G8:J8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13</xdr:row>
                    <xdr:rowOff>63500</xdr:rowOff>
                  </from>
                  <to>
                    <xdr:col>2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7" r:id="rId8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292100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8" r:id="rId9" name="Button 2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6</xdr:row>
                    <xdr:rowOff>63500</xdr:rowOff>
                  </from>
                  <to>
                    <xdr:col>2</xdr:col>
                    <xdr:colOff>0</xdr:colOff>
                    <xdr:row>7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9" r:id="rId10" name="Button 3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13</xdr:row>
                    <xdr:rowOff>63500</xdr:rowOff>
                  </from>
                  <to>
                    <xdr:col>2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1" r:id="rId11" name="Button 5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4" r:id="rId12" name="Button 8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35"/>
  <sheetViews>
    <sheetView topLeftCell="B18" workbookViewId="0">
      <selection activeCell="G27" sqref="G27"/>
    </sheetView>
  </sheetViews>
  <sheetFormatPr baseColWidth="10" defaultRowHeight="15" x14ac:dyDescent="0"/>
  <cols>
    <col min="2" max="2" width="10.83203125" style="27"/>
    <col min="3" max="3" width="10.83203125" style="31"/>
  </cols>
  <sheetData>
    <row r="1" spans="1:12">
      <c r="E1" t="s">
        <v>75</v>
      </c>
    </row>
    <row r="2" spans="1:12">
      <c r="A2" t="s">
        <v>26</v>
      </c>
      <c r="B2" s="27" t="s">
        <v>74</v>
      </c>
      <c r="C2" s="31" t="s">
        <v>77</v>
      </c>
      <c r="D2" t="s">
        <v>78</v>
      </c>
      <c r="E2" t="s">
        <v>132</v>
      </c>
      <c r="F2" t="s">
        <v>133</v>
      </c>
      <c r="G2" t="s">
        <v>134</v>
      </c>
    </row>
    <row r="3" spans="1:12">
      <c r="A3">
        <v>1</v>
      </c>
      <c r="B3" s="27">
        <v>15</v>
      </c>
      <c r="C3" s="31">
        <v>2</v>
      </c>
      <c r="E3">
        <v>1</v>
      </c>
      <c r="F3">
        <v>100</v>
      </c>
      <c r="G3">
        <v>200</v>
      </c>
    </row>
    <row r="4" spans="1:12">
      <c r="A4">
        <v>2</v>
      </c>
      <c r="B4" s="27">
        <f>B3*C4</f>
        <v>30</v>
      </c>
      <c r="C4" s="31">
        <f>C3</f>
        <v>2</v>
      </c>
      <c r="D4" s="27">
        <f>B4-B3</f>
        <v>15</v>
      </c>
      <c r="E4">
        <v>2</v>
      </c>
      <c r="F4">
        <v>200</v>
      </c>
      <c r="G4">
        <v>400</v>
      </c>
      <c r="J4">
        <f>Numbers!A3</f>
        <v>1</v>
      </c>
      <c r="K4" t="e">
        <f>Numbers!AD3</f>
        <v>#REF!</v>
      </c>
      <c r="L4">
        <f>Numbers!AE3</f>
        <v>0</v>
      </c>
    </row>
    <row r="5" spans="1:12">
      <c r="A5">
        <v>3</v>
      </c>
      <c r="B5" s="27">
        <f t="shared" ref="B5:B22" si="0">B4*C5</f>
        <v>60</v>
      </c>
      <c r="C5" s="31">
        <f t="shared" ref="C5:C22" si="1">C4</f>
        <v>2</v>
      </c>
      <c r="D5" s="27">
        <f t="shared" ref="D5:D35" si="2">B5-B4</f>
        <v>30</v>
      </c>
      <c r="E5">
        <v>3</v>
      </c>
      <c r="F5">
        <v>300</v>
      </c>
      <c r="G5">
        <v>600</v>
      </c>
      <c r="J5">
        <f>Numbers!A4</f>
        <v>2</v>
      </c>
      <c r="K5" t="e">
        <f>Numbers!AD4</f>
        <v>#REF!</v>
      </c>
      <c r="L5" t="e">
        <f>Numbers!AE4</f>
        <v>#REF!</v>
      </c>
    </row>
    <row r="6" spans="1:12">
      <c r="A6">
        <v>4</v>
      </c>
      <c r="B6" s="27">
        <f t="shared" si="0"/>
        <v>90</v>
      </c>
      <c r="C6" s="31">
        <v>1.5</v>
      </c>
      <c r="D6" s="27">
        <f t="shared" si="2"/>
        <v>30</v>
      </c>
      <c r="E6">
        <v>4</v>
      </c>
      <c r="F6">
        <v>400</v>
      </c>
      <c r="G6">
        <v>800</v>
      </c>
      <c r="J6">
        <f>Numbers!A5</f>
        <v>3</v>
      </c>
      <c r="K6" t="e">
        <f>Numbers!AD5</f>
        <v>#REF!</v>
      </c>
      <c r="L6" t="e">
        <f>Numbers!AE5</f>
        <v>#REF!</v>
      </c>
    </row>
    <row r="7" spans="1:12">
      <c r="A7">
        <v>5</v>
      </c>
      <c r="B7" s="27">
        <f t="shared" si="0"/>
        <v>135</v>
      </c>
      <c r="C7" s="31">
        <f t="shared" si="1"/>
        <v>1.5</v>
      </c>
      <c r="D7" s="27">
        <f t="shared" si="2"/>
        <v>45</v>
      </c>
      <c r="E7">
        <v>5</v>
      </c>
      <c r="F7">
        <v>500</v>
      </c>
      <c r="G7">
        <v>1000</v>
      </c>
      <c r="J7">
        <f>Numbers!A6</f>
        <v>4</v>
      </c>
      <c r="K7" t="e">
        <f>Numbers!AD6</f>
        <v>#REF!</v>
      </c>
      <c r="L7" t="e">
        <f>Numbers!AE6</f>
        <v>#REF!</v>
      </c>
    </row>
    <row r="8" spans="1:12">
      <c r="A8">
        <v>6</v>
      </c>
      <c r="B8" s="27">
        <f t="shared" si="0"/>
        <v>202.5</v>
      </c>
      <c r="C8" s="31">
        <f t="shared" si="1"/>
        <v>1.5</v>
      </c>
      <c r="D8" s="27">
        <f t="shared" si="2"/>
        <v>67.5</v>
      </c>
      <c r="E8">
        <v>6</v>
      </c>
      <c r="F8">
        <v>600</v>
      </c>
      <c r="G8">
        <v>1200</v>
      </c>
      <c r="J8">
        <f>Numbers!A7</f>
        <v>5</v>
      </c>
      <c r="K8" t="e">
        <f>Numbers!AD7</f>
        <v>#REF!</v>
      </c>
      <c r="L8" t="e">
        <f>Numbers!AE7</f>
        <v>#REF!</v>
      </c>
    </row>
    <row r="9" spans="1:12">
      <c r="A9">
        <v>7</v>
      </c>
      <c r="B9" s="27">
        <f t="shared" si="0"/>
        <v>303.75</v>
      </c>
      <c r="C9" s="31">
        <f t="shared" si="1"/>
        <v>1.5</v>
      </c>
      <c r="D9" s="27">
        <f t="shared" si="2"/>
        <v>101.25</v>
      </c>
      <c r="E9">
        <v>7</v>
      </c>
      <c r="F9">
        <v>700</v>
      </c>
      <c r="G9">
        <v>1400</v>
      </c>
      <c r="J9">
        <f>Numbers!A8</f>
        <v>6</v>
      </c>
      <c r="K9" t="e">
        <f>Numbers!AD8</f>
        <v>#REF!</v>
      </c>
      <c r="L9" t="e">
        <f>Numbers!AE8</f>
        <v>#REF!</v>
      </c>
    </row>
    <row r="10" spans="1:12">
      <c r="A10">
        <v>8</v>
      </c>
      <c r="B10" s="27">
        <f t="shared" si="0"/>
        <v>455.625</v>
      </c>
      <c r="C10" s="31">
        <f t="shared" si="1"/>
        <v>1.5</v>
      </c>
      <c r="D10" s="27">
        <f t="shared" si="2"/>
        <v>151.875</v>
      </c>
      <c r="E10">
        <v>8</v>
      </c>
      <c r="F10">
        <v>800</v>
      </c>
      <c r="G10">
        <v>1600</v>
      </c>
      <c r="J10">
        <f>Numbers!A9</f>
        <v>7</v>
      </c>
      <c r="K10" t="e">
        <f>Numbers!AD9</f>
        <v>#REF!</v>
      </c>
      <c r="L10" t="e">
        <f>Numbers!AE9</f>
        <v>#REF!</v>
      </c>
    </row>
    <row r="11" spans="1:12">
      <c r="A11">
        <v>9</v>
      </c>
      <c r="B11" s="27">
        <f t="shared" si="0"/>
        <v>592.3125</v>
      </c>
      <c r="C11" s="31">
        <v>1.3</v>
      </c>
      <c r="D11" s="27">
        <f t="shared" si="2"/>
        <v>136.6875</v>
      </c>
      <c r="E11">
        <v>9</v>
      </c>
      <c r="F11">
        <v>900</v>
      </c>
      <c r="G11">
        <v>1800</v>
      </c>
      <c r="J11">
        <f>Numbers!A10</f>
        <v>8</v>
      </c>
      <c r="K11" t="e">
        <f>Numbers!AD10</f>
        <v>#REF!</v>
      </c>
      <c r="L11" t="e">
        <f>Numbers!AE10</f>
        <v>#REF!</v>
      </c>
    </row>
    <row r="12" spans="1:12">
      <c r="A12">
        <v>10</v>
      </c>
      <c r="B12" s="27">
        <f t="shared" si="0"/>
        <v>770.00625000000002</v>
      </c>
      <c r="C12" s="31">
        <f t="shared" si="1"/>
        <v>1.3</v>
      </c>
      <c r="D12" s="27">
        <f t="shared" si="2"/>
        <v>177.69375000000002</v>
      </c>
      <c r="E12">
        <v>10</v>
      </c>
      <c r="F12">
        <v>1000</v>
      </c>
      <c r="G12">
        <v>2000</v>
      </c>
      <c r="J12">
        <f>Numbers!A11</f>
        <v>9</v>
      </c>
      <c r="K12" t="e">
        <f>Numbers!AD11</f>
        <v>#REF!</v>
      </c>
      <c r="L12" t="e">
        <f>Numbers!AE11</f>
        <v>#REF!</v>
      </c>
    </row>
    <row r="13" spans="1:12">
      <c r="A13">
        <v>11</v>
      </c>
      <c r="B13" s="27">
        <f t="shared" si="0"/>
        <v>1001.0081250000001</v>
      </c>
      <c r="C13" s="31">
        <f t="shared" si="1"/>
        <v>1.3</v>
      </c>
      <c r="D13" s="27">
        <f t="shared" si="2"/>
        <v>231.00187500000004</v>
      </c>
      <c r="E13">
        <v>11</v>
      </c>
      <c r="F13">
        <v>1100</v>
      </c>
      <c r="G13">
        <v>2200</v>
      </c>
      <c r="J13">
        <f>Numbers!A12</f>
        <v>10</v>
      </c>
      <c r="K13" t="e">
        <f>Numbers!AD12</f>
        <v>#REF!</v>
      </c>
      <c r="L13" t="e">
        <f>Numbers!AE12</f>
        <v>#REF!</v>
      </c>
    </row>
    <row r="14" spans="1:12">
      <c r="A14">
        <v>12</v>
      </c>
      <c r="B14" s="27">
        <f t="shared" si="0"/>
        <v>1301.3105625000001</v>
      </c>
      <c r="C14" s="31">
        <f t="shared" si="1"/>
        <v>1.3</v>
      </c>
      <c r="D14" s="27">
        <f t="shared" si="2"/>
        <v>300.3024375</v>
      </c>
      <c r="E14">
        <v>12</v>
      </c>
      <c r="F14">
        <v>1200</v>
      </c>
      <c r="G14">
        <v>2400</v>
      </c>
      <c r="J14">
        <f>Numbers!A13</f>
        <v>11</v>
      </c>
      <c r="K14" t="e">
        <f>Numbers!AD13</f>
        <v>#REF!</v>
      </c>
      <c r="L14" t="e">
        <f>Numbers!AE13</f>
        <v>#REF!</v>
      </c>
    </row>
    <row r="15" spans="1:12">
      <c r="A15">
        <v>13</v>
      </c>
      <c r="B15" s="27">
        <f t="shared" si="0"/>
        <v>1691.7037312500001</v>
      </c>
      <c r="C15" s="31">
        <f t="shared" si="1"/>
        <v>1.3</v>
      </c>
      <c r="D15" s="27">
        <f t="shared" si="2"/>
        <v>390.39316875000009</v>
      </c>
      <c r="E15">
        <v>13</v>
      </c>
      <c r="F15">
        <v>1300</v>
      </c>
      <c r="G15">
        <v>2600</v>
      </c>
      <c r="J15">
        <f>Numbers!A14</f>
        <v>12</v>
      </c>
      <c r="K15" t="e">
        <f>Numbers!AD14</f>
        <v>#REF!</v>
      </c>
      <c r="L15" t="e">
        <f>Numbers!AE14</f>
        <v>#REF!</v>
      </c>
    </row>
    <row r="16" spans="1:12">
      <c r="A16">
        <v>14</v>
      </c>
      <c r="B16" s="27">
        <f t="shared" si="0"/>
        <v>2199.2148506250001</v>
      </c>
      <c r="C16" s="31">
        <f t="shared" si="1"/>
        <v>1.3</v>
      </c>
      <c r="D16" s="27">
        <f t="shared" si="2"/>
        <v>507.51111937499991</v>
      </c>
      <c r="E16">
        <v>14</v>
      </c>
      <c r="F16">
        <v>1400</v>
      </c>
      <c r="G16">
        <v>2800</v>
      </c>
      <c r="J16">
        <f>Numbers!A15</f>
        <v>13</v>
      </c>
      <c r="K16" t="e">
        <f>Numbers!AD15</f>
        <v>#REF!</v>
      </c>
      <c r="L16" t="e">
        <f>Numbers!AE15</f>
        <v>#REF!</v>
      </c>
    </row>
    <row r="17" spans="1:12">
      <c r="A17">
        <v>15</v>
      </c>
      <c r="B17" s="27">
        <f t="shared" si="0"/>
        <v>2639.0578207499998</v>
      </c>
      <c r="C17" s="31">
        <v>1.2</v>
      </c>
      <c r="D17" s="27">
        <f t="shared" si="2"/>
        <v>439.84297012499974</v>
      </c>
      <c r="E17">
        <v>15</v>
      </c>
      <c r="F17">
        <v>1500</v>
      </c>
      <c r="G17">
        <v>3000</v>
      </c>
      <c r="J17">
        <f>Numbers!A16</f>
        <v>14</v>
      </c>
      <c r="K17" t="e">
        <f>Numbers!AD16</f>
        <v>#REF!</v>
      </c>
      <c r="L17" t="e">
        <f>Numbers!AE16</f>
        <v>#REF!</v>
      </c>
    </row>
    <row r="18" spans="1:12">
      <c r="A18">
        <v>16</v>
      </c>
      <c r="B18" s="27">
        <f t="shared" si="0"/>
        <v>3166.8693848999997</v>
      </c>
      <c r="C18" s="31">
        <f t="shared" si="1"/>
        <v>1.2</v>
      </c>
      <c r="D18" s="27">
        <f t="shared" si="2"/>
        <v>527.81156414999987</v>
      </c>
      <c r="E18">
        <v>16</v>
      </c>
      <c r="F18">
        <v>1600</v>
      </c>
      <c r="G18">
        <v>3200</v>
      </c>
      <c r="J18">
        <f>Numbers!A17</f>
        <v>15</v>
      </c>
      <c r="K18" t="e">
        <f>Numbers!AD17</f>
        <v>#REF!</v>
      </c>
      <c r="L18" t="e">
        <f>Numbers!AE17</f>
        <v>#REF!</v>
      </c>
    </row>
    <row r="19" spans="1:12">
      <c r="A19">
        <v>17</v>
      </c>
      <c r="B19" s="27">
        <f t="shared" si="0"/>
        <v>3800.2432618799994</v>
      </c>
      <c r="C19" s="31">
        <f t="shared" si="1"/>
        <v>1.2</v>
      </c>
      <c r="D19" s="27">
        <f t="shared" si="2"/>
        <v>633.37387697999975</v>
      </c>
      <c r="E19">
        <v>17</v>
      </c>
      <c r="F19">
        <v>1700</v>
      </c>
      <c r="G19">
        <v>3400</v>
      </c>
    </row>
    <row r="20" spans="1:12">
      <c r="A20">
        <v>18</v>
      </c>
      <c r="B20" s="27">
        <f t="shared" si="0"/>
        <v>4560.2919142559995</v>
      </c>
      <c r="C20" s="31">
        <f t="shared" si="1"/>
        <v>1.2</v>
      </c>
      <c r="D20" s="27">
        <f t="shared" si="2"/>
        <v>760.04865237600006</v>
      </c>
      <c r="E20">
        <v>18</v>
      </c>
      <c r="F20">
        <v>1800</v>
      </c>
      <c r="G20">
        <v>3600</v>
      </c>
    </row>
    <row r="21" spans="1:12">
      <c r="A21">
        <v>19</v>
      </c>
      <c r="B21" s="27">
        <f t="shared" si="0"/>
        <v>5472.3502971071994</v>
      </c>
      <c r="C21" s="31">
        <f t="shared" si="1"/>
        <v>1.2</v>
      </c>
      <c r="D21" s="27">
        <f t="shared" si="2"/>
        <v>912.05838285119989</v>
      </c>
      <c r="E21">
        <v>19</v>
      </c>
      <c r="F21">
        <v>1900</v>
      </c>
      <c r="G21">
        <v>3800</v>
      </c>
    </row>
    <row r="22" spans="1:12">
      <c r="A22">
        <v>20</v>
      </c>
      <c r="B22" s="27">
        <f t="shared" si="0"/>
        <v>6566.8203565286394</v>
      </c>
      <c r="C22" s="31">
        <f t="shared" si="1"/>
        <v>1.2</v>
      </c>
      <c r="D22" s="27">
        <f t="shared" si="2"/>
        <v>1094.4700594214401</v>
      </c>
      <c r="E22">
        <v>20</v>
      </c>
      <c r="F22">
        <v>2000</v>
      </c>
      <c r="G22">
        <v>4000</v>
      </c>
    </row>
    <row r="23" spans="1:12">
      <c r="A23">
        <v>21</v>
      </c>
      <c r="B23" s="27">
        <f t="shared" ref="B23:B34" si="3">B22*C23</f>
        <v>7223.5023921815036</v>
      </c>
      <c r="C23" s="31">
        <v>1.1000000000000001</v>
      </c>
      <c r="D23" s="27">
        <f t="shared" si="2"/>
        <v>656.68203565286422</v>
      </c>
      <c r="E23">
        <v>21</v>
      </c>
      <c r="F23">
        <v>2100</v>
      </c>
      <c r="G23">
        <v>4200</v>
      </c>
    </row>
    <row r="24" spans="1:12">
      <c r="A24">
        <v>22</v>
      </c>
      <c r="B24" s="27">
        <f t="shared" si="3"/>
        <v>7945.8526313996545</v>
      </c>
      <c r="C24" s="31">
        <f t="shared" ref="C24:C34" si="4">C23</f>
        <v>1.1000000000000001</v>
      </c>
      <c r="D24" s="27">
        <f t="shared" si="2"/>
        <v>722.35023921815082</v>
      </c>
      <c r="E24">
        <v>22</v>
      </c>
      <c r="F24">
        <v>2200</v>
      </c>
      <c r="G24">
        <v>4400</v>
      </c>
    </row>
    <row r="25" spans="1:12">
      <c r="A25">
        <v>23</v>
      </c>
      <c r="B25" s="27">
        <f t="shared" si="3"/>
        <v>8740.4378945396202</v>
      </c>
      <c r="C25" s="31">
        <f t="shared" si="4"/>
        <v>1.1000000000000001</v>
      </c>
      <c r="D25" s="27">
        <f t="shared" si="2"/>
        <v>794.58526313996572</v>
      </c>
      <c r="E25">
        <v>23</v>
      </c>
      <c r="F25">
        <v>2300</v>
      </c>
      <c r="G25">
        <v>4600</v>
      </c>
    </row>
    <row r="26" spans="1:12">
      <c r="A26">
        <v>24</v>
      </c>
      <c r="B26" s="27">
        <f t="shared" si="3"/>
        <v>9614.4816839935829</v>
      </c>
      <c r="C26" s="31">
        <f t="shared" si="4"/>
        <v>1.1000000000000001</v>
      </c>
      <c r="D26" s="27">
        <f t="shared" si="2"/>
        <v>874.04378945396275</v>
      </c>
      <c r="E26">
        <v>24</v>
      </c>
      <c r="F26">
        <v>2400</v>
      </c>
      <c r="G26">
        <v>4800</v>
      </c>
    </row>
    <row r="27" spans="1:12">
      <c r="A27">
        <v>25</v>
      </c>
      <c r="B27" s="27">
        <f t="shared" si="3"/>
        <v>10575.929852392943</v>
      </c>
      <c r="C27" s="31">
        <f t="shared" si="4"/>
        <v>1.1000000000000001</v>
      </c>
      <c r="D27" s="27">
        <f t="shared" si="2"/>
        <v>961.44816839935993</v>
      </c>
      <c r="E27">
        <v>25</v>
      </c>
      <c r="F27">
        <v>2500</v>
      </c>
      <c r="G27">
        <v>5000</v>
      </c>
    </row>
    <row r="28" spans="1:12">
      <c r="A28">
        <v>26</v>
      </c>
      <c r="B28" s="27">
        <f t="shared" si="3"/>
        <v>11633.522837632237</v>
      </c>
      <c r="C28" s="31">
        <f t="shared" si="4"/>
        <v>1.1000000000000001</v>
      </c>
      <c r="D28" s="27">
        <f t="shared" si="2"/>
        <v>1057.5929852392946</v>
      </c>
      <c r="E28">
        <v>26</v>
      </c>
      <c r="F28">
        <v>2600</v>
      </c>
      <c r="G28">
        <v>5200</v>
      </c>
    </row>
    <row r="29" spans="1:12">
      <c r="A29">
        <v>27</v>
      </c>
      <c r="B29" s="27">
        <f t="shared" si="3"/>
        <v>12796.875121395462</v>
      </c>
      <c r="C29" s="31">
        <f t="shared" si="4"/>
        <v>1.1000000000000001</v>
      </c>
      <c r="D29" s="27">
        <f t="shared" si="2"/>
        <v>1163.3522837632245</v>
      </c>
      <c r="E29">
        <v>27</v>
      </c>
      <c r="F29">
        <v>2700</v>
      </c>
      <c r="G29">
        <v>5400</v>
      </c>
    </row>
    <row r="30" spans="1:12">
      <c r="A30">
        <v>28</v>
      </c>
      <c r="B30" s="27">
        <f t="shared" si="3"/>
        <v>14076.56263353501</v>
      </c>
      <c r="C30" s="31">
        <f t="shared" si="4"/>
        <v>1.1000000000000001</v>
      </c>
      <c r="D30" s="27">
        <f t="shared" si="2"/>
        <v>1279.6875121395478</v>
      </c>
      <c r="E30">
        <v>28</v>
      </c>
      <c r="F30">
        <v>2800</v>
      </c>
      <c r="G30">
        <v>5600</v>
      </c>
    </row>
    <row r="31" spans="1:12">
      <c r="A31">
        <v>29</v>
      </c>
      <c r="B31" s="27">
        <f t="shared" si="3"/>
        <v>15484.218896888511</v>
      </c>
      <c r="C31" s="31">
        <f t="shared" si="4"/>
        <v>1.1000000000000001</v>
      </c>
      <c r="D31" s="27">
        <f t="shared" si="2"/>
        <v>1407.6562633535013</v>
      </c>
      <c r="E31">
        <v>29</v>
      </c>
      <c r="F31">
        <v>2900</v>
      </c>
      <c r="G31">
        <v>5800</v>
      </c>
    </row>
    <row r="32" spans="1:12">
      <c r="A32">
        <v>30</v>
      </c>
      <c r="B32" s="27">
        <f t="shared" si="3"/>
        <v>17032.640786577365</v>
      </c>
      <c r="C32" s="31">
        <f t="shared" si="4"/>
        <v>1.1000000000000001</v>
      </c>
      <c r="D32" s="27">
        <f t="shared" si="2"/>
        <v>1548.4218896888542</v>
      </c>
      <c r="E32">
        <v>30</v>
      </c>
      <c r="F32">
        <v>3000</v>
      </c>
      <c r="G32">
        <v>6000</v>
      </c>
    </row>
    <row r="33" spans="1:7">
      <c r="A33">
        <v>31</v>
      </c>
      <c r="B33" s="27">
        <f t="shared" si="3"/>
        <v>18735.904865235105</v>
      </c>
      <c r="C33" s="31">
        <f t="shared" si="4"/>
        <v>1.1000000000000001</v>
      </c>
      <c r="D33" s="27">
        <f t="shared" si="2"/>
        <v>1703.2640786577394</v>
      </c>
      <c r="E33">
        <v>31</v>
      </c>
      <c r="F33">
        <v>3100</v>
      </c>
      <c r="G33">
        <v>6200</v>
      </c>
    </row>
    <row r="34" spans="1:7">
      <c r="A34">
        <v>32</v>
      </c>
      <c r="B34" s="27">
        <f t="shared" si="3"/>
        <v>20609.495351758618</v>
      </c>
      <c r="C34" s="31">
        <f t="shared" si="4"/>
        <v>1.1000000000000001</v>
      </c>
      <c r="D34" s="27">
        <f t="shared" si="2"/>
        <v>1873.5904865235134</v>
      </c>
      <c r="E34">
        <v>32</v>
      </c>
      <c r="F34">
        <v>3200</v>
      </c>
      <c r="G34">
        <v>6400</v>
      </c>
    </row>
    <row r="35" spans="1:7">
      <c r="A35">
        <v>33</v>
      </c>
      <c r="B35" s="27">
        <f>B34*C35</f>
        <v>22670.444886934481</v>
      </c>
      <c r="C35" s="31">
        <f>C34</f>
        <v>1.1000000000000001</v>
      </c>
      <c r="D35" s="27">
        <f t="shared" si="2"/>
        <v>2060.9495351758633</v>
      </c>
      <c r="E35">
        <v>33</v>
      </c>
      <c r="F35">
        <v>3300</v>
      </c>
      <c r="G35">
        <v>6600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activeCell="F13" sqref="F13"/>
    </sheetView>
  </sheetViews>
  <sheetFormatPr baseColWidth="10" defaultRowHeight="15" x14ac:dyDescent="0"/>
  <sheetData>
    <row r="1" spans="1:5">
      <c r="C1" t="s">
        <v>75</v>
      </c>
    </row>
    <row r="2" spans="1:5">
      <c r="A2" t="s">
        <v>26</v>
      </c>
      <c r="B2" s="27" t="s">
        <v>74</v>
      </c>
      <c r="C2" t="s">
        <v>132</v>
      </c>
      <c r="D2" t="s">
        <v>133</v>
      </c>
      <c r="E2" t="s">
        <v>134</v>
      </c>
    </row>
    <row r="3" spans="1:5">
      <c r="A3">
        <v>1</v>
      </c>
      <c r="B3">
        <v>10</v>
      </c>
      <c r="C3">
        <v>1</v>
      </c>
      <c r="D3">
        <v>100</v>
      </c>
      <c r="E3">
        <v>200</v>
      </c>
    </row>
    <row r="4" spans="1:5">
      <c r="A4">
        <v>2</v>
      </c>
      <c r="B4">
        <v>30</v>
      </c>
      <c r="C4">
        <v>2</v>
      </c>
      <c r="D4">
        <v>200</v>
      </c>
      <c r="E4">
        <v>400</v>
      </c>
    </row>
    <row r="5" spans="1:5">
      <c r="A5">
        <v>3</v>
      </c>
      <c r="B5">
        <v>60</v>
      </c>
      <c r="C5">
        <v>3</v>
      </c>
      <c r="D5">
        <v>300</v>
      </c>
      <c r="E5">
        <v>600</v>
      </c>
    </row>
    <row r="6" spans="1:5">
      <c r="A6">
        <v>4</v>
      </c>
      <c r="B6">
        <v>150</v>
      </c>
      <c r="C6">
        <v>4</v>
      </c>
      <c r="D6">
        <v>400</v>
      </c>
      <c r="E6">
        <v>800</v>
      </c>
    </row>
    <row r="7" spans="1:5">
      <c r="A7">
        <v>5</v>
      </c>
      <c r="B7">
        <v>300</v>
      </c>
      <c r="C7">
        <v>5</v>
      </c>
      <c r="D7">
        <v>500</v>
      </c>
      <c r="E7">
        <v>1000</v>
      </c>
    </row>
    <row r="8" spans="1:5">
      <c r="A8">
        <v>6</v>
      </c>
      <c r="B8">
        <v>380</v>
      </c>
      <c r="C8">
        <v>6</v>
      </c>
      <c r="D8">
        <v>600</v>
      </c>
      <c r="E8">
        <v>1200</v>
      </c>
    </row>
    <row r="9" spans="1:5">
      <c r="A9">
        <v>7</v>
      </c>
      <c r="B9">
        <v>500</v>
      </c>
      <c r="C9">
        <v>7</v>
      </c>
      <c r="D9">
        <v>700</v>
      </c>
      <c r="E9">
        <v>1400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2"/>
  <sheetViews>
    <sheetView workbookViewId="0">
      <pane xSplit="1" ySplit="1" topLeftCell="B15" activePane="bottomRight" state="frozen"/>
      <selection pane="topRight" activeCell="B1" sqref="B1"/>
      <selection pane="bottomLeft" activeCell="A2" sqref="A2"/>
      <selection pane="bottomRight" activeCell="F31" sqref="F31"/>
    </sheetView>
  </sheetViews>
  <sheetFormatPr baseColWidth="10" defaultRowHeight="15" x14ac:dyDescent="0"/>
  <cols>
    <col min="1" max="2" width="21.5" customWidth="1"/>
    <col min="3" max="3" width="6.5" customWidth="1"/>
    <col min="4" max="4" width="21.5" customWidth="1"/>
    <col min="5" max="5" width="26.1640625" customWidth="1"/>
    <col min="6" max="9" width="10.83203125" style="27"/>
  </cols>
  <sheetData>
    <row r="1" spans="1:16">
      <c r="A1" t="s">
        <v>149</v>
      </c>
      <c r="B1" t="s">
        <v>172</v>
      </c>
      <c r="C1" t="s">
        <v>171</v>
      </c>
      <c r="D1" t="s">
        <v>167</v>
      </c>
      <c r="E1" t="s">
        <v>150</v>
      </c>
      <c r="F1" s="27" t="s">
        <v>151</v>
      </c>
      <c r="G1" s="27" t="s">
        <v>133</v>
      </c>
      <c r="H1" s="27" t="s">
        <v>134</v>
      </c>
      <c r="I1" s="27" t="s">
        <v>152</v>
      </c>
      <c r="J1" t="s">
        <v>132</v>
      </c>
      <c r="K1" t="s">
        <v>153</v>
      </c>
      <c r="L1" t="s">
        <v>154</v>
      </c>
      <c r="M1" t="s">
        <v>155</v>
      </c>
      <c r="N1" t="s">
        <v>159</v>
      </c>
      <c r="O1" t="s">
        <v>160</v>
      </c>
      <c r="P1" t="s">
        <v>161</v>
      </c>
    </row>
    <row r="2" spans="1:16">
      <c r="A2" t="s">
        <v>157</v>
      </c>
      <c r="B2" t="s">
        <v>156</v>
      </c>
      <c r="C2">
        <v>1</v>
      </c>
      <c r="E2" t="s">
        <v>156</v>
      </c>
      <c r="F2" s="27">
        <f>baseBetterNumbers(Numbers!CE5*10)</f>
        <v>32000</v>
      </c>
      <c r="J2">
        <v>5</v>
      </c>
    </row>
    <row r="3" spans="1:16">
      <c r="A3" t="s">
        <v>165</v>
      </c>
      <c r="B3" t="s">
        <v>168</v>
      </c>
      <c r="C3">
        <v>1</v>
      </c>
      <c r="E3" t="s">
        <v>168</v>
      </c>
      <c r="F3" s="27">
        <f>baseBetterNumbers(Numbers!CK5*10)</f>
        <v>32000</v>
      </c>
      <c r="J3">
        <v>5</v>
      </c>
    </row>
    <row r="4" spans="1:16">
      <c r="A4" t="s">
        <v>163</v>
      </c>
      <c r="B4" t="s">
        <v>162</v>
      </c>
      <c r="C4">
        <v>1</v>
      </c>
      <c r="E4" t="s">
        <v>169</v>
      </c>
      <c r="F4" s="27">
        <v>10</v>
      </c>
      <c r="K4">
        <v>1</v>
      </c>
    </row>
    <row r="5" spans="1:16">
      <c r="A5" t="s">
        <v>164</v>
      </c>
      <c r="B5" t="s">
        <v>156</v>
      </c>
      <c r="C5">
        <v>2</v>
      </c>
      <c r="D5" t="s">
        <v>157</v>
      </c>
      <c r="E5" t="s">
        <v>156</v>
      </c>
      <c r="F5" s="27">
        <f>baseBetterNumbers(Numbers!CE9*10)</f>
        <v>1020000</v>
      </c>
      <c r="J5">
        <v>10</v>
      </c>
    </row>
    <row r="6" spans="1:16">
      <c r="A6" t="s">
        <v>158</v>
      </c>
      <c r="B6" t="s">
        <v>168</v>
      </c>
      <c r="C6">
        <v>2</v>
      </c>
      <c r="D6" t="s">
        <v>165</v>
      </c>
      <c r="E6" t="s">
        <v>168</v>
      </c>
      <c r="F6" s="27">
        <f>baseBetterNumbers(Numbers!CK10*10)</f>
        <v>1840000</v>
      </c>
      <c r="J6">
        <v>10</v>
      </c>
    </row>
    <row r="7" spans="1:16">
      <c r="A7" t="s">
        <v>173</v>
      </c>
      <c r="B7" t="s">
        <v>162</v>
      </c>
      <c r="C7">
        <v>2</v>
      </c>
      <c r="D7" t="s">
        <v>163</v>
      </c>
      <c r="E7" t="s">
        <v>169</v>
      </c>
      <c r="F7" s="27">
        <v>20</v>
      </c>
      <c r="L7">
        <v>1</v>
      </c>
    </row>
    <row r="8" spans="1:16">
      <c r="A8" t="s">
        <v>174</v>
      </c>
      <c r="B8" t="s">
        <v>162</v>
      </c>
      <c r="C8">
        <v>3</v>
      </c>
      <c r="D8" t="s">
        <v>173</v>
      </c>
      <c r="E8" t="s">
        <v>169</v>
      </c>
      <c r="F8" s="27">
        <v>50</v>
      </c>
      <c r="M8">
        <v>1</v>
      </c>
    </row>
    <row r="9" spans="1:16">
      <c r="A9" t="s">
        <v>166</v>
      </c>
      <c r="B9" t="s">
        <v>0</v>
      </c>
      <c r="C9">
        <v>1</v>
      </c>
      <c r="E9" t="s">
        <v>170</v>
      </c>
      <c r="F9" s="27">
        <v>3</v>
      </c>
      <c r="K9">
        <v>1</v>
      </c>
    </row>
    <row r="10" spans="1:16">
      <c r="A10" t="s">
        <v>175</v>
      </c>
      <c r="B10" t="s">
        <v>0</v>
      </c>
      <c r="C10">
        <v>2</v>
      </c>
      <c r="D10" t="s">
        <v>166</v>
      </c>
      <c r="E10" t="s">
        <v>170</v>
      </c>
      <c r="F10" s="27">
        <v>6</v>
      </c>
      <c r="K10">
        <v>1</v>
      </c>
    </row>
    <row r="11" spans="1:16">
      <c r="A11" s="73" t="s">
        <v>176</v>
      </c>
      <c r="B11" s="73" t="s">
        <v>0</v>
      </c>
      <c r="C11" s="73">
        <v>3</v>
      </c>
      <c r="D11" s="73" t="s">
        <v>175</v>
      </c>
      <c r="E11" s="73" t="s">
        <v>170</v>
      </c>
      <c r="F11" s="74">
        <v>9</v>
      </c>
      <c r="G11" s="74"/>
      <c r="H11" s="74"/>
      <c r="I11" s="74"/>
      <c r="J11" s="73"/>
      <c r="K11" s="73"/>
      <c r="L11" s="73">
        <v>1</v>
      </c>
      <c r="M11" s="73"/>
      <c r="N11" s="73"/>
      <c r="O11" s="73"/>
      <c r="P11" s="73"/>
    </row>
    <row r="12" spans="1:16">
      <c r="A12" s="73" t="s">
        <v>177</v>
      </c>
      <c r="B12" s="73" t="s">
        <v>0</v>
      </c>
      <c r="C12" s="73">
        <v>4</v>
      </c>
      <c r="D12" s="73" t="s">
        <v>176</v>
      </c>
      <c r="E12" s="73" t="s">
        <v>170</v>
      </c>
      <c r="F12" s="74">
        <v>12</v>
      </c>
      <c r="G12" s="74"/>
      <c r="H12" s="74"/>
      <c r="I12" s="74"/>
      <c r="J12" s="73"/>
      <c r="K12" s="73"/>
      <c r="L12" s="73">
        <v>1</v>
      </c>
      <c r="M12" s="73"/>
      <c r="N12" s="73"/>
      <c r="O12" s="73"/>
      <c r="P12" s="73"/>
    </row>
    <row r="13" spans="1:16">
      <c r="A13" s="73" t="s">
        <v>178</v>
      </c>
      <c r="B13" s="73" t="s">
        <v>0</v>
      </c>
      <c r="C13" s="73">
        <v>5</v>
      </c>
      <c r="D13" s="73" t="s">
        <v>176</v>
      </c>
      <c r="E13" s="73" t="s">
        <v>170</v>
      </c>
      <c r="F13" s="74">
        <v>15</v>
      </c>
      <c r="G13" s="74"/>
      <c r="H13" s="74"/>
      <c r="I13" s="74"/>
      <c r="J13" s="73"/>
      <c r="K13" s="73"/>
      <c r="L13" s="73"/>
      <c r="M13" s="73">
        <v>1</v>
      </c>
      <c r="N13" s="73"/>
      <c r="O13" s="73"/>
      <c r="P13" s="73"/>
    </row>
    <row r="14" spans="1:16">
      <c r="A14" s="73" t="s">
        <v>442</v>
      </c>
      <c r="B14" s="73" t="s">
        <v>180</v>
      </c>
      <c r="C14" s="73">
        <v>1</v>
      </c>
      <c r="D14" t="s">
        <v>175</v>
      </c>
      <c r="E14" t="s">
        <v>180</v>
      </c>
      <c r="F14" s="27">
        <f>baseBetterNumbers(Numbers!CQ10*10)</f>
        <v>369000</v>
      </c>
      <c r="J14">
        <v>10</v>
      </c>
    </row>
    <row r="15" spans="1:16">
      <c r="A15" s="73" t="s">
        <v>443</v>
      </c>
      <c r="B15" s="73" t="s">
        <v>180</v>
      </c>
      <c r="C15" s="73">
        <v>2</v>
      </c>
      <c r="D15" s="73" t="s">
        <v>179</v>
      </c>
      <c r="E15" t="s">
        <v>180</v>
      </c>
      <c r="F15" s="27">
        <f>baseBetterNumbers(Numbers!CQ13*20)</f>
        <v>8560000</v>
      </c>
      <c r="K15">
        <v>1</v>
      </c>
    </row>
    <row r="16" spans="1:16">
      <c r="A16" s="73" t="s">
        <v>444</v>
      </c>
      <c r="B16" s="73" t="s">
        <v>180</v>
      </c>
      <c r="C16" s="73">
        <v>3</v>
      </c>
      <c r="D16" s="73" t="s">
        <v>181</v>
      </c>
      <c r="E16" t="s">
        <v>180</v>
      </c>
      <c r="F16" s="27">
        <f>baseBetterNumbers(Numbers!CQ16*20)</f>
        <v>18800000</v>
      </c>
      <c r="K16">
        <v>1</v>
      </c>
    </row>
    <row r="17" spans="1:12">
      <c r="A17" t="s">
        <v>182</v>
      </c>
      <c r="B17" t="s">
        <v>156</v>
      </c>
      <c r="C17">
        <v>2</v>
      </c>
      <c r="D17" t="s">
        <v>164</v>
      </c>
      <c r="E17" t="s">
        <v>156</v>
      </c>
      <c r="F17" s="27">
        <f>baseBetterNumbers(Numbers!CE15*20)</f>
        <v>36200000</v>
      </c>
      <c r="J17">
        <v>30</v>
      </c>
    </row>
    <row r="18" spans="1:12">
      <c r="A18" t="s">
        <v>183</v>
      </c>
      <c r="B18" t="s">
        <v>168</v>
      </c>
      <c r="C18">
        <v>2</v>
      </c>
      <c r="D18" t="s">
        <v>158</v>
      </c>
      <c r="E18" t="s">
        <v>168</v>
      </c>
      <c r="F18" s="27">
        <f>baseBetterNumbers(Numbers!CK16*30)</f>
        <v>70600000</v>
      </c>
      <c r="J18">
        <v>30</v>
      </c>
    </row>
    <row r="19" spans="1:12">
      <c r="A19" s="73" t="s">
        <v>185</v>
      </c>
      <c r="B19" s="73" t="s">
        <v>184</v>
      </c>
      <c r="C19">
        <v>1</v>
      </c>
      <c r="E19" t="s">
        <v>184</v>
      </c>
      <c r="F19" s="27">
        <f>baseBetterNumbers(Numbers!CD5*0.8)</f>
        <v>6910</v>
      </c>
      <c r="G19" s="27">
        <f>baseBetterNumbers(F19/2)</f>
        <v>3460</v>
      </c>
    </row>
    <row r="20" spans="1:12">
      <c r="A20" s="73" t="s">
        <v>186</v>
      </c>
      <c r="B20" s="73" t="s">
        <v>184</v>
      </c>
      <c r="C20">
        <v>2</v>
      </c>
      <c r="D20" s="73" t="s">
        <v>185</v>
      </c>
      <c r="E20" t="s">
        <v>184</v>
      </c>
      <c r="F20" s="27">
        <f>baseBetterNumbers(Numbers!CD11*0.8)</f>
        <v>697000</v>
      </c>
      <c r="G20" s="27">
        <f>baseBetterNumbers(F20/2)</f>
        <v>348000</v>
      </c>
    </row>
    <row r="21" spans="1:12">
      <c r="A21" s="73" t="s">
        <v>187</v>
      </c>
      <c r="B21" s="73" t="s">
        <v>184</v>
      </c>
      <c r="C21">
        <v>3</v>
      </c>
      <c r="D21" s="73" t="s">
        <v>186</v>
      </c>
      <c r="E21" t="s">
        <v>184</v>
      </c>
      <c r="F21" s="27">
        <f>baseBetterNumbers(Numbers!CD15*0.8)</f>
        <v>3810000</v>
      </c>
      <c r="G21" s="27">
        <f>baseBetterNumbers(F21/2)</f>
        <v>1900000</v>
      </c>
    </row>
    <row r="22" spans="1:12">
      <c r="A22" s="73" t="s">
        <v>188</v>
      </c>
      <c r="B22" s="73" t="s">
        <v>189</v>
      </c>
      <c r="C22">
        <v>1</v>
      </c>
      <c r="E22" t="s">
        <v>189</v>
      </c>
      <c r="F22" s="27">
        <f>baseBetterNumbers(Numbers!CJ6*0.8)</f>
        <v>13800</v>
      </c>
      <c r="H22" s="27">
        <f>baseBetterNumbers(F22*0.6)</f>
        <v>8280</v>
      </c>
    </row>
    <row r="23" spans="1:12">
      <c r="A23" s="73" t="s">
        <v>190</v>
      </c>
      <c r="B23" s="73" t="s">
        <v>189</v>
      </c>
      <c r="C23">
        <v>2</v>
      </c>
      <c r="D23" s="73" t="s">
        <v>188</v>
      </c>
      <c r="E23" t="s">
        <v>189</v>
      </c>
      <c r="F23" s="27">
        <f>baseBetterNumbers(Numbers!CJ12*0.8)</f>
        <v>1250000</v>
      </c>
      <c r="H23" s="27">
        <f>baseBetterNumbers(F23*0.6)</f>
        <v>750000</v>
      </c>
    </row>
    <row r="24" spans="1:12">
      <c r="A24" s="73" t="s">
        <v>191</v>
      </c>
      <c r="B24" s="73" t="s">
        <v>189</v>
      </c>
      <c r="C24">
        <v>3</v>
      </c>
      <c r="D24" s="73" t="s">
        <v>190</v>
      </c>
      <c r="E24" t="s">
        <v>189</v>
      </c>
      <c r="F24" s="27">
        <f>baseBetterNumbers(Numbers!CJ16*0.8)</f>
        <v>4930000</v>
      </c>
      <c r="H24" s="27">
        <f>baseBetterNumbers(F24*0.6)</f>
        <v>2960000</v>
      </c>
    </row>
    <row r="25" spans="1:12">
      <c r="A25" s="73" t="s">
        <v>192</v>
      </c>
      <c r="B25" s="73" t="s">
        <v>193</v>
      </c>
      <c r="C25">
        <v>1</v>
      </c>
      <c r="E25" t="s">
        <v>193</v>
      </c>
      <c r="F25" s="27">
        <f>baseBetterNumbers(Numbers!CP10*0.6)</f>
        <v>99900</v>
      </c>
      <c r="I25" s="27">
        <f>baseBetterNumbers(F25/2)</f>
        <v>50000</v>
      </c>
    </row>
    <row r="26" spans="1:12">
      <c r="A26" s="73" t="s">
        <v>194</v>
      </c>
      <c r="B26" s="73" t="s">
        <v>193</v>
      </c>
      <c r="C26">
        <v>2</v>
      </c>
      <c r="D26" s="73" t="s">
        <v>192</v>
      </c>
      <c r="E26" t="s">
        <v>193</v>
      </c>
      <c r="F26" s="27">
        <f>baseBetterNumbers(Numbers!CP14*0.6)</f>
        <v>1250000</v>
      </c>
      <c r="I26" s="27">
        <f>baseBetterNumbers(F26/2)</f>
        <v>625000</v>
      </c>
    </row>
    <row r="27" spans="1:12">
      <c r="A27" s="73" t="s">
        <v>195</v>
      </c>
      <c r="B27" s="73" t="s">
        <v>193</v>
      </c>
      <c r="C27">
        <v>3</v>
      </c>
      <c r="D27" s="73" t="s">
        <v>194</v>
      </c>
      <c r="E27" t="s">
        <v>193</v>
      </c>
      <c r="F27" s="27">
        <f>baseBetterNumbers(Numbers!CP17*0.6)</f>
        <v>2740000</v>
      </c>
      <c r="I27" s="27">
        <f>baseBetterNumbers(F27/2)</f>
        <v>1370000</v>
      </c>
    </row>
    <row r="28" spans="1:12">
      <c r="A28" s="73" t="s">
        <v>196</v>
      </c>
      <c r="B28" s="73" t="s">
        <v>197</v>
      </c>
      <c r="C28">
        <v>1</v>
      </c>
      <c r="E28" t="s">
        <v>197</v>
      </c>
      <c r="F28" s="27">
        <f>ROUND(Bots!F7*0.2,0)</f>
        <v>6</v>
      </c>
      <c r="J28">
        <v>5</v>
      </c>
    </row>
    <row r="29" spans="1:12">
      <c r="A29" s="73" t="s">
        <v>198</v>
      </c>
      <c r="B29" s="73" t="s">
        <v>197</v>
      </c>
      <c r="C29">
        <v>2</v>
      </c>
      <c r="D29" s="73" t="s">
        <v>198</v>
      </c>
      <c r="E29" t="s">
        <v>197</v>
      </c>
      <c r="F29" s="27">
        <f>ROUND(Bots!F12*0.5,0)</f>
        <v>53</v>
      </c>
      <c r="J29">
        <v>25</v>
      </c>
    </row>
    <row r="30" spans="1:12">
      <c r="A30" s="73" t="s">
        <v>199</v>
      </c>
      <c r="B30" s="73" t="s">
        <v>197</v>
      </c>
      <c r="C30">
        <v>3</v>
      </c>
      <c r="D30" s="73" t="s">
        <v>199</v>
      </c>
      <c r="E30" t="s">
        <v>197</v>
      </c>
      <c r="F30" s="27">
        <f>ROUND(Bots!F17*0.5,0)</f>
        <v>86</v>
      </c>
      <c r="J30">
        <v>50</v>
      </c>
    </row>
    <row r="31" spans="1:12">
      <c r="A31" s="73" t="s">
        <v>204</v>
      </c>
      <c r="B31" s="73" t="s">
        <v>207</v>
      </c>
      <c r="C31">
        <v>1</v>
      </c>
      <c r="E31" s="73" t="s">
        <v>207</v>
      </c>
      <c r="F31" s="27">
        <f>baseBetterNumbers(Numbers!NR5*0.8)</f>
        <v>64</v>
      </c>
      <c r="K31">
        <v>1</v>
      </c>
    </row>
    <row r="32" spans="1:12">
      <c r="A32" s="73" t="s">
        <v>205</v>
      </c>
      <c r="B32" s="73" t="s">
        <v>207</v>
      </c>
      <c r="C32">
        <v>2</v>
      </c>
      <c r="D32" s="73" t="s">
        <v>204</v>
      </c>
      <c r="E32" s="73" t="s">
        <v>207</v>
      </c>
      <c r="F32" s="27">
        <f>baseBetterNumbers(Numbers!NR8*0.8)</f>
        <v>768</v>
      </c>
      <c r="L32">
        <v>1</v>
      </c>
    </row>
    <row r="33" spans="1:13">
      <c r="A33" s="73" t="s">
        <v>206</v>
      </c>
      <c r="B33" s="73" t="s">
        <v>207</v>
      </c>
      <c r="C33">
        <v>3</v>
      </c>
      <c r="D33" s="73" t="s">
        <v>205</v>
      </c>
      <c r="E33" s="73" t="s">
        <v>207</v>
      </c>
      <c r="F33" s="27">
        <f>baseBetterNumbers(Numbers!NR12*0.8)</f>
        <v>3450</v>
      </c>
      <c r="L33">
        <v>1</v>
      </c>
    </row>
    <row r="34" spans="1:13">
      <c r="A34" t="s">
        <v>200</v>
      </c>
      <c r="B34" t="s">
        <v>8</v>
      </c>
      <c r="C34">
        <v>1</v>
      </c>
      <c r="E34" t="s">
        <v>201</v>
      </c>
      <c r="F34" s="27">
        <v>1</v>
      </c>
      <c r="K34">
        <v>1</v>
      </c>
    </row>
    <row r="35" spans="1:13">
      <c r="A35" t="s">
        <v>202</v>
      </c>
      <c r="B35" t="s">
        <v>8</v>
      </c>
      <c r="C35">
        <v>2</v>
      </c>
      <c r="D35" t="s">
        <v>200</v>
      </c>
      <c r="E35" t="s">
        <v>201</v>
      </c>
      <c r="F35" s="27">
        <v>4</v>
      </c>
      <c r="L35">
        <v>1</v>
      </c>
    </row>
    <row r="36" spans="1:13">
      <c r="A36" t="s">
        <v>203</v>
      </c>
      <c r="B36" t="s">
        <v>8</v>
      </c>
      <c r="C36">
        <v>3</v>
      </c>
      <c r="D36" t="s">
        <v>202</v>
      </c>
      <c r="E36" t="s">
        <v>201</v>
      </c>
      <c r="F36" s="27">
        <v>10</v>
      </c>
      <c r="M36">
        <v>1</v>
      </c>
    </row>
    <row r="37" spans="1:13">
      <c r="A37" t="s">
        <v>208</v>
      </c>
      <c r="B37" t="s">
        <v>209</v>
      </c>
      <c r="C37">
        <v>1</v>
      </c>
      <c r="E37" t="s">
        <v>209</v>
      </c>
      <c r="F37" s="27">
        <f>Numbers!BB5</f>
        <v>4</v>
      </c>
      <c r="J37">
        <v>5</v>
      </c>
    </row>
    <row r="38" spans="1:13">
      <c r="A38" t="s">
        <v>210</v>
      </c>
      <c r="B38" t="s">
        <v>209</v>
      </c>
      <c r="C38">
        <v>2</v>
      </c>
      <c r="D38" t="s">
        <v>208</v>
      </c>
      <c r="E38" t="s">
        <v>209</v>
      </c>
      <c r="F38" s="27">
        <f>Numbers!BB8</f>
        <v>10</v>
      </c>
      <c r="J38">
        <v>20</v>
      </c>
    </row>
    <row r="39" spans="1:13">
      <c r="A39" t="s">
        <v>211</v>
      </c>
      <c r="B39" t="s">
        <v>209</v>
      </c>
      <c r="C39">
        <v>3</v>
      </c>
      <c r="D39" t="s">
        <v>210</v>
      </c>
      <c r="E39" t="s">
        <v>209</v>
      </c>
      <c r="F39" s="27">
        <f>Numbers!BB16</f>
        <v>18</v>
      </c>
      <c r="J39">
        <v>50</v>
      </c>
    </row>
    <row r="40" spans="1:13">
      <c r="A40" t="s">
        <v>213</v>
      </c>
      <c r="B40" t="s">
        <v>212</v>
      </c>
      <c r="C40">
        <v>1</v>
      </c>
      <c r="E40" t="s">
        <v>212</v>
      </c>
      <c r="F40" s="27">
        <f>Numbers!AH5</f>
        <v>2</v>
      </c>
      <c r="K40">
        <v>1</v>
      </c>
    </row>
    <row r="41" spans="1:13">
      <c r="A41" t="s">
        <v>214</v>
      </c>
      <c r="B41" t="s">
        <v>212</v>
      </c>
      <c r="C41">
        <v>2</v>
      </c>
      <c r="D41" t="s">
        <v>213</v>
      </c>
      <c r="E41" t="s">
        <v>212</v>
      </c>
      <c r="F41" s="27">
        <f>Numbers!AH12</f>
        <v>7</v>
      </c>
      <c r="L41">
        <v>1</v>
      </c>
    </row>
    <row r="42" spans="1:13">
      <c r="A42" t="s">
        <v>215</v>
      </c>
      <c r="B42" t="s">
        <v>212</v>
      </c>
      <c r="C42">
        <v>3</v>
      </c>
      <c r="D42" t="s">
        <v>214</v>
      </c>
      <c r="E42" t="s">
        <v>212</v>
      </c>
      <c r="F42" s="27">
        <f>Numbers!AH16</f>
        <v>9</v>
      </c>
      <c r="M42">
        <v>1</v>
      </c>
    </row>
    <row r="43" spans="1:13">
      <c r="A43" t="s">
        <v>217</v>
      </c>
      <c r="B43" t="s">
        <v>216</v>
      </c>
      <c r="C43">
        <v>1</v>
      </c>
      <c r="E43" t="s">
        <v>216</v>
      </c>
      <c r="F43" s="27">
        <v>1</v>
      </c>
      <c r="J43">
        <v>5</v>
      </c>
    </row>
    <row r="44" spans="1:13">
      <c r="A44" t="s">
        <v>218</v>
      </c>
      <c r="B44" t="s">
        <v>216</v>
      </c>
      <c r="C44">
        <v>2</v>
      </c>
      <c r="D44" t="s">
        <v>217</v>
      </c>
      <c r="E44" t="s">
        <v>216</v>
      </c>
      <c r="F44" s="27">
        <v>5</v>
      </c>
      <c r="J44">
        <v>10</v>
      </c>
    </row>
    <row r="45" spans="1:13">
      <c r="A45" t="s">
        <v>219</v>
      </c>
      <c r="B45" t="s">
        <v>216</v>
      </c>
      <c r="C45">
        <v>3</v>
      </c>
      <c r="D45" t="s">
        <v>218</v>
      </c>
      <c r="E45" t="s">
        <v>216</v>
      </c>
      <c r="F45" s="27">
        <v>15</v>
      </c>
      <c r="K45">
        <v>1</v>
      </c>
    </row>
    <row r="46" spans="1:13">
      <c r="A46" t="s">
        <v>220</v>
      </c>
      <c r="B46" t="s">
        <v>216</v>
      </c>
      <c r="C46">
        <v>4</v>
      </c>
      <c r="D46" t="s">
        <v>219</v>
      </c>
      <c r="E46" t="s">
        <v>216</v>
      </c>
      <c r="F46" s="27">
        <v>30</v>
      </c>
      <c r="K46">
        <v>1</v>
      </c>
    </row>
    <row r="47" spans="1:13">
      <c r="A47" t="s">
        <v>221</v>
      </c>
      <c r="B47" t="s">
        <v>216</v>
      </c>
      <c r="C47">
        <v>5</v>
      </c>
      <c r="D47" t="s">
        <v>220</v>
      </c>
      <c r="E47" t="s">
        <v>216</v>
      </c>
      <c r="F47" s="27">
        <v>50</v>
      </c>
      <c r="L47">
        <v>1</v>
      </c>
    </row>
    <row r="48" spans="1:13">
      <c r="A48" t="s">
        <v>222</v>
      </c>
      <c r="B48" t="s">
        <v>216</v>
      </c>
      <c r="C48">
        <v>6</v>
      </c>
      <c r="D48" t="s">
        <v>221</v>
      </c>
      <c r="E48" t="s">
        <v>216</v>
      </c>
      <c r="F48" s="27">
        <v>100</v>
      </c>
      <c r="L48">
        <v>1</v>
      </c>
    </row>
    <row r="49" spans="1:13">
      <c r="A49" t="s">
        <v>223</v>
      </c>
      <c r="B49" t="s">
        <v>216</v>
      </c>
      <c r="C49">
        <v>7</v>
      </c>
      <c r="D49" t="s">
        <v>222</v>
      </c>
      <c r="E49" t="s">
        <v>216</v>
      </c>
      <c r="F49" s="27">
        <v>150</v>
      </c>
      <c r="L49">
        <v>1</v>
      </c>
    </row>
    <row r="50" spans="1:13">
      <c r="A50" t="s">
        <v>224</v>
      </c>
      <c r="B50" t="s">
        <v>216</v>
      </c>
      <c r="C50">
        <v>8</v>
      </c>
      <c r="D50" t="s">
        <v>223</v>
      </c>
      <c r="E50" t="s">
        <v>216</v>
      </c>
      <c r="F50" s="27">
        <v>200</v>
      </c>
      <c r="M50">
        <v>1</v>
      </c>
    </row>
    <row r="51" spans="1:13">
      <c r="A51" t="s">
        <v>225</v>
      </c>
      <c r="B51" t="s">
        <v>216</v>
      </c>
      <c r="C51">
        <v>9</v>
      </c>
      <c r="D51" t="s">
        <v>224</v>
      </c>
      <c r="E51" t="s">
        <v>216</v>
      </c>
      <c r="F51" s="27">
        <v>250</v>
      </c>
      <c r="M51">
        <v>1</v>
      </c>
    </row>
    <row r="52" spans="1:13">
      <c r="A52" t="s">
        <v>226</v>
      </c>
      <c r="B52" t="s">
        <v>216</v>
      </c>
      <c r="C52">
        <v>10</v>
      </c>
      <c r="D52" t="s">
        <v>225</v>
      </c>
      <c r="E52" t="s">
        <v>216</v>
      </c>
      <c r="F52" s="27">
        <v>300</v>
      </c>
      <c r="M52">
        <v>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17"/>
  <sheetViews>
    <sheetView workbookViewId="0">
      <selection activeCell="AC23" sqref="AC23"/>
    </sheetView>
  </sheetViews>
  <sheetFormatPr baseColWidth="10" defaultRowHeight="15" x14ac:dyDescent="0"/>
  <cols>
    <col min="9" max="12" width="14.5" customWidth="1"/>
    <col min="14" max="14" width="10.83203125" style="87"/>
    <col min="17" max="17" width="10.83203125" style="87"/>
    <col min="20" max="20" width="10.83203125" style="87"/>
    <col min="23" max="23" width="10.83203125" style="87"/>
    <col min="26" max="26" width="10.83203125" style="87"/>
    <col min="29" max="29" width="13.83203125" style="87" customWidth="1"/>
    <col min="30" max="30" width="13.83203125" customWidth="1"/>
    <col min="31" max="31" width="16" customWidth="1"/>
    <col min="32" max="32" width="10.83203125" style="87"/>
    <col min="33" max="33" width="12.83203125" customWidth="1"/>
    <col min="34" max="34" width="13" customWidth="1"/>
    <col min="35" max="35" width="15" style="87" customWidth="1"/>
    <col min="36" max="36" width="13.6640625" customWidth="1"/>
    <col min="37" max="37" width="13" customWidth="1"/>
  </cols>
  <sheetData>
    <row r="1" spans="1:87">
      <c r="A1" s="114" t="s">
        <v>233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N1" s="86" t="s">
        <v>234</v>
      </c>
      <c r="AM1" s="86" t="s">
        <v>259</v>
      </c>
      <c r="AP1" s="87"/>
      <c r="AS1" s="87"/>
      <c r="AV1" s="87"/>
      <c r="AY1" s="87"/>
      <c r="BB1" s="87"/>
      <c r="BE1" s="87"/>
      <c r="BH1" s="87"/>
      <c r="BL1" s="86" t="s">
        <v>260</v>
      </c>
      <c r="BO1" s="87"/>
      <c r="BR1" s="87"/>
      <c r="BU1" s="87"/>
      <c r="BX1" s="87"/>
      <c r="CA1" s="87"/>
      <c r="CD1" s="87"/>
      <c r="CG1" s="87"/>
    </row>
    <row r="2" spans="1:87">
      <c r="A2" t="str">
        <f>Numbers!A2</f>
        <v>Level</v>
      </c>
      <c r="B2" t="str">
        <f>Numbers!CC2</f>
        <v>Cr.Farm</v>
      </c>
      <c r="C2" t="str">
        <f>Numbers!CD2</f>
        <v>Cr.Store</v>
      </c>
      <c r="D2" t="str">
        <f>Numbers!CI2</f>
        <v>Ad.Farm</v>
      </c>
      <c r="E2" t="str">
        <f>Numbers!CJ2</f>
        <v>Ad.Store</v>
      </c>
      <c r="F2" t="str">
        <f>Numbers!CO2</f>
        <v>Ti.Farm</v>
      </c>
      <c r="G2" t="str">
        <f>Numbers!CP2</f>
        <v>Ti.Store</v>
      </c>
      <c r="H2" t="str">
        <f>Bots!D2</f>
        <v>Bt.Space</v>
      </c>
      <c r="I2" t="str">
        <f>Bots!E2</f>
        <v>Full.Bt.Size</v>
      </c>
      <c r="J2" t="str">
        <f>Numbers!IY2</f>
        <v>max.infantryBot</v>
      </c>
      <c r="K2" t="str">
        <f>Numbers!IZ2</f>
        <v>max.rocketBot</v>
      </c>
      <c r="L2" t="str">
        <f>Numbers!JA2</f>
        <v>max.heavyBot</v>
      </c>
      <c r="N2" s="87" t="s">
        <v>239</v>
      </c>
      <c r="O2" t="s">
        <v>235</v>
      </c>
      <c r="P2" t="s">
        <v>236</v>
      </c>
      <c r="Q2" s="87" t="s">
        <v>240</v>
      </c>
      <c r="R2" t="s">
        <v>237</v>
      </c>
      <c r="S2" t="s">
        <v>238</v>
      </c>
      <c r="T2" s="87" t="s">
        <v>241</v>
      </c>
      <c r="U2" t="s">
        <v>242</v>
      </c>
      <c r="V2" t="s">
        <v>243</v>
      </c>
      <c r="W2" s="87" t="s">
        <v>247</v>
      </c>
      <c r="X2" t="s">
        <v>248</v>
      </c>
      <c r="Y2" t="s">
        <v>249</v>
      </c>
      <c r="Z2" s="87" t="s">
        <v>244</v>
      </c>
      <c r="AA2" t="s">
        <v>245</v>
      </c>
      <c r="AB2" t="s">
        <v>246</v>
      </c>
      <c r="AC2" s="87" t="s">
        <v>250</v>
      </c>
      <c r="AD2" t="s">
        <v>251</v>
      </c>
      <c r="AE2" t="s">
        <v>252</v>
      </c>
      <c r="AF2" s="87" t="s">
        <v>253</v>
      </c>
      <c r="AG2" t="s">
        <v>254</v>
      </c>
      <c r="AH2" t="s">
        <v>255</v>
      </c>
      <c r="AI2" s="87" t="s">
        <v>256</v>
      </c>
      <c r="AJ2" t="s">
        <v>257</v>
      </c>
      <c r="AK2" t="s">
        <v>258</v>
      </c>
      <c r="AM2" s="87" t="s">
        <v>239</v>
      </c>
      <c r="AN2" t="s">
        <v>235</v>
      </c>
      <c r="AO2" t="s">
        <v>236</v>
      </c>
      <c r="AP2" s="87" t="s">
        <v>240</v>
      </c>
      <c r="AQ2" t="s">
        <v>237</v>
      </c>
      <c r="AR2" t="s">
        <v>238</v>
      </c>
      <c r="AS2" s="87" t="s">
        <v>241</v>
      </c>
      <c r="AT2" t="s">
        <v>242</v>
      </c>
      <c r="AU2" t="s">
        <v>243</v>
      </c>
      <c r="AV2" s="87" t="s">
        <v>247</v>
      </c>
      <c r="AW2" t="s">
        <v>248</v>
      </c>
      <c r="AX2" t="s">
        <v>249</v>
      </c>
      <c r="AY2" s="87" t="s">
        <v>244</v>
      </c>
      <c r="AZ2" t="s">
        <v>245</v>
      </c>
      <c r="BA2" t="s">
        <v>246</v>
      </c>
      <c r="BB2" s="87" t="s">
        <v>250</v>
      </c>
      <c r="BC2" t="s">
        <v>251</v>
      </c>
      <c r="BD2" t="s">
        <v>252</v>
      </c>
      <c r="BE2" s="87" t="s">
        <v>253</v>
      </c>
      <c r="BF2" t="s">
        <v>254</v>
      </c>
      <c r="BG2" t="s">
        <v>255</v>
      </c>
      <c r="BH2" s="87" t="s">
        <v>256</v>
      </c>
      <c r="BI2" t="s">
        <v>257</v>
      </c>
      <c r="BJ2" t="s">
        <v>258</v>
      </c>
      <c r="BL2" s="87" t="s">
        <v>239</v>
      </c>
      <c r="BM2" t="s">
        <v>235</v>
      </c>
      <c r="BN2" t="s">
        <v>236</v>
      </c>
      <c r="BO2" s="87" t="s">
        <v>240</v>
      </c>
      <c r="BP2" t="s">
        <v>237</v>
      </c>
      <c r="BQ2" t="s">
        <v>238</v>
      </c>
      <c r="BR2" s="87" t="s">
        <v>241</v>
      </c>
      <c r="BS2" t="s">
        <v>242</v>
      </c>
      <c r="BT2" t="s">
        <v>243</v>
      </c>
      <c r="BU2" s="87" t="s">
        <v>247</v>
      </c>
      <c r="BV2" t="s">
        <v>248</v>
      </c>
      <c r="BW2" t="s">
        <v>249</v>
      </c>
      <c r="BX2" s="87" t="s">
        <v>244</v>
      </c>
      <c r="BY2" t="s">
        <v>245</v>
      </c>
      <c r="BZ2" t="s">
        <v>246</v>
      </c>
      <c r="CA2" s="87" t="s">
        <v>250</v>
      </c>
      <c r="CB2" t="s">
        <v>251</v>
      </c>
      <c r="CC2" t="s">
        <v>252</v>
      </c>
      <c r="CD2" s="87" t="s">
        <v>253</v>
      </c>
      <c r="CE2" t="s">
        <v>254</v>
      </c>
      <c r="CF2" t="s">
        <v>255</v>
      </c>
      <c r="CG2" s="87" t="s">
        <v>256</v>
      </c>
      <c r="CH2" t="s">
        <v>257</v>
      </c>
      <c r="CI2" t="s">
        <v>258</v>
      </c>
    </row>
    <row r="3" spans="1:87">
      <c r="A3">
        <f>Numbers!A3</f>
        <v>1</v>
      </c>
      <c r="B3">
        <f>Numbers!CC3</f>
        <v>100</v>
      </c>
      <c r="C3">
        <f>Numbers!CD3</f>
        <v>2160</v>
      </c>
      <c r="D3">
        <f>Numbers!CI3</f>
        <v>100</v>
      </c>
      <c r="E3">
        <f>Numbers!CJ3</f>
        <v>2160</v>
      </c>
      <c r="F3">
        <f>Numbers!CO3</f>
        <v>0</v>
      </c>
      <c r="G3">
        <f>Numbers!CP3</f>
        <v>0</v>
      </c>
      <c r="H3">
        <f>Bots!D3</f>
        <v>0</v>
      </c>
      <c r="I3">
        <f>Bots!E3</f>
        <v>0</v>
      </c>
      <c r="J3">
        <f>Numbers!IY3</f>
        <v>0</v>
      </c>
      <c r="K3">
        <f>Numbers!IZ3</f>
        <v>0</v>
      </c>
      <c r="L3">
        <f>Numbers!JA3</f>
        <v>0</v>
      </c>
      <c r="N3" s="87">
        <v>0.8</v>
      </c>
      <c r="O3">
        <f>B3*2</f>
        <v>200</v>
      </c>
      <c r="P3">
        <f>B3*10</f>
        <v>1000</v>
      </c>
      <c r="Q3" s="87">
        <v>0.8</v>
      </c>
      <c r="R3">
        <f>D3*2</f>
        <v>200</v>
      </c>
      <c r="S3">
        <f>D3*10</f>
        <v>1000</v>
      </c>
      <c r="T3" s="87">
        <v>0</v>
      </c>
      <c r="U3">
        <f>F3*2</f>
        <v>0</v>
      </c>
      <c r="V3">
        <f>F3*10</f>
        <v>0</v>
      </c>
      <c r="W3" s="87">
        <v>0.5</v>
      </c>
      <c r="X3">
        <v>5</v>
      </c>
      <c r="Y3">
        <v>20</v>
      </c>
      <c r="Z3" s="87">
        <v>0</v>
      </c>
      <c r="AA3">
        <f>ROUNDDOWN(H3*0.5,0)</f>
        <v>0</v>
      </c>
      <c r="AB3">
        <f>ROUNDDOWN(H3*2,0)</f>
        <v>0</v>
      </c>
      <c r="AC3" s="87">
        <v>0</v>
      </c>
      <c r="AD3">
        <v>0</v>
      </c>
      <c r="AE3">
        <v>0</v>
      </c>
      <c r="AF3" s="87">
        <v>0</v>
      </c>
      <c r="AG3">
        <v>0</v>
      </c>
      <c r="AH3">
        <v>0</v>
      </c>
      <c r="AI3" s="87">
        <v>0</v>
      </c>
      <c r="AJ3">
        <v>0</v>
      </c>
      <c r="AK3">
        <v>0</v>
      </c>
      <c r="AM3" s="87">
        <v>0.8</v>
      </c>
      <c r="AN3">
        <f>B3*6</f>
        <v>600</v>
      </c>
      <c r="AO3">
        <f>B3*20</f>
        <v>2000</v>
      </c>
      <c r="AP3" s="87">
        <v>0.8</v>
      </c>
      <c r="AQ3">
        <f>D3*6</f>
        <v>600</v>
      </c>
      <c r="AR3">
        <f>D3*20</f>
        <v>2000</v>
      </c>
      <c r="AS3" s="87">
        <v>0</v>
      </c>
      <c r="AT3">
        <f>F3*4</f>
        <v>0</v>
      </c>
      <c r="AU3">
        <f>F3*20</f>
        <v>0</v>
      </c>
      <c r="AV3" s="87">
        <v>0.5</v>
      </c>
      <c r="AW3">
        <v>10</v>
      </c>
      <c r="AX3">
        <v>40</v>
      </c>
      <c r="AY3" s="87">
        <v>0</v>
      </c>
      <c r="AZ3">
        <f>ROUNDDOWN(H3*0.5,0)</f>
        <v>0</v>
      </c>
      <c r="BA3">
        <f>ROUNDDOWN(H3*3,0)</f>
        <v>0</v>
      </c>
      <c r="BB3" s="87">
        <v>0</v>
      </c>
      <c r="BC3">
        <v>0</v>
      </c>
      <c r="BD3">
        <v>0</v>
      </c>
      <c r="BE3" s="87">
        <v>0</v>
      </c>
      <c r="BF3">
        <v>0</v>
      </c>
      <c r="BG3">
        <v>0</v>
      </c>
      <c r="BH3" s="87">
        <v>0</v>
      </c>
      <c r="BI3">
        <v>0</v>
      </c>
      <c r="BJ3">
        <v>0</v>
      </c>
      <c r="BL3" s="87">
        <v>0.8</v>
      </c>
      <c r="BM3">
        <f>B3*8</f>
        <v>800</v>
      </c>
      <c r="BN3">
        <f>B3*30</f>
        <v>3000</v>
      </c>
      <c r="BO3" s="87">
        <v>0.8</v>
      </c>
      <c r="BP3">
        <f>D3*8</f>
        <v>800</v>
      </c>
      <c r="BQ3">
        <f>D3*30</f>
        <v>3000</v>
      </c>
      <c r="BR3" s="87">
        <v>0</v>
      </c>
      <c r="BS3">
        <f>F3*6</f>
        <v>0</v>
      </c>
      <c r="BT3">
        <f>F3*30</f>
        <v>0</v>
      </c>
      <c r="BU3" s="87">
        <v>0.65</v>
      </c>
      <c r="BV3">
        <v>20</v>
      </c>
      <c r="BW3">
        <v>50</v>
      </c>
      <c r="BX3" s="87">
        <v>0</v>
      </c>
      <c r="BY3">
        <f>ROUNDDOWN(AG3*0.5,0)</f>
        <v>0</v>
      </c>
      <c r="BZ3">
        <f>ROUNDDOWN(H3*4,0)</f>
        <v>0</v>
      </c>
      <c r="CA3" s="87">
        <v>0</v>
      </c>
      <c r="CB3">
        <v>0</v>
      </c>
      <c r="CC3">
        <v>0</v>
      </c>
      <c r="CD3" s="87">
        <v>0</v>
      </c>
      <c r="CE3">
        <v>0</v>
      </c>
      <c r="CF3">
        <v>0</v>
      </c>
      <c r="CG3" s="87">
        <v>0</v>
      </c>
      <c r="CH3">
        <v>0</v>
      </c>
      <c r="CI3">
        <v>0</v>
      </c>
    </row>
    <row r="4" spans="1:87">
      <c r="A4">
        <f>Numbers!A4</f>
        <v>2</v>
      </c>
      <c r="B4">
        <f>Numbers!CC4</f>
        <v>200</v>
      </c>
      <c r="C4">
        <f>Numbers!CD4</f>
        <v>4320</v>
      </c>
      <c r="D4">
        <f>Numbers!CI4</f>
        <v>400</v>
      </c>
      <c r="E4">
        <f>Numbers!CJ4</f>
        <v>4320</v>
      </c>
      <c r="F4">
        <f>Numbers!CO4</f>
        <v>0</v>
      </c>
      <c r="G4">
        <f>Numbers!CP4</f>
        <v>0</v>
      </c>
      <c r="H4">
        <f>Bots!D4</f>
        <v>0</v>
      </c>
      <c r="I4">
        <f>Bots!E4</f>
        <v>0</v>
      </c>
      <c r="J4">
        <f>Numbers!IY4</f>
        <v>0</v>
      </c>
      <c r="K4">
        <f>Numbers!IZ4</f>
        <v>0</v>
      </c>
      <c r="L4">
        <f>Numbers!JA4</f>
        <v>0</v>
      </c>
      <c r="N4" s="87">
        <v>0.8</v>
      </c>
      <c r="O4">
        <f t="shared" ref="O4:O17" si="0">B4*2</f>
        <v>400</v>
      </c>
      <c r="P4">
        <f t="shared" ref="P4:P17" si="1">B4*10</f>
        <v>2000</v>
      </c>
      <c r="Q4" s="87">
        <v>0.8</v>
      </c>
      <c r="R4">
        <f t="shared" ref="R4:R17" si="2">D4*2</f>
        <v>800</v>
      </c>
      <c r="S4">
        <f t="shared" ref="S4:S17" si="3">D4*10</f>
        <v>4000</v>
      </c>
      <c r="T4" s="87">
        <v>0</v>
      </c>
      <c r="U4">
        <f t="shared" ref="U4:U17" si="4">F4*2</f>
        <v>0</v>
      </c>
      <c r="V4">
        <f t="shared" ref="V4:V17" si="5">F4*10</f>
        <v>0</v>
      </c>
      <c r="W4" s="87">
        <v>0.5</v>
      </c>
      <c r="X4">
        <v>5</v>
      </c>
      <c r="Y4">
        <v>20</v>
      </c>
      <c r="Z4" s="87">
        <v>0</v>
      </c>
      <c r="AA4">
        <f>ROUNDDOWN(H4*0.5,0)</f>
        <v>0</v>
      </c>
      <c r="AB4">
        <f>ROUNDDOWN(H4*2,0)</f>
        <v>0</v>
      </c>
      <c r="AC4" s="87">
        <v>0</v>
      </c>
      <c r="AD4">
        <v>0</v>
      </c>
      <c r="AE4">
        <v>0</v>
      </c>
      <c r="AF4" s="87">
        <v>0</v>
      </c>
      <c r="AG4">
        <v>0</v>
      </c>
      <c r="AH4">
        <v>0</v>
      </c>
      <c r="AI4" s="87">
        <v>0</v>
      </c>
      <c r="AJ4">
        <v>0</v>
      </c>
      <c r="AK4">
        <v>0</v>
      </c>
      <c r="AM4" s="87">
        <v>0.8</v>
      </c>
      <c r="AN4">
        <f t="shared" ref="AN4:AN17" si="6">B4*6</f>
        <v>1200</v>
      </c>
      <c r="AO4">
        <f t="shared" ref="AO4:AO17" si="7">B4*20</f>
        <v>4000</v>
      </c>
      <c r="AP4" s="87">
        <v>0.8</v>
      </c>
      <c r="AQ4">
        <f t="shared" ref="AQ4:AQ17" si="8">D4*6</f>
        <v>2400</v>
      </c>
      <c r="AR4">
        <f t="shared" ref="AR4:AR17" si="9">D4*20</f>
        <v>8000</v>
      </c>
      <c r="AS4" s="87">
        <v>0</v>
      </c>
      <c r="AT4">
        <f t="shared" ref="AT4:AT17" si="10">F4*4</f>
        <v>0</v>
      </c>
      <c r="AU4">
        <f t="shared" ref="AU4:AU17" si="11">F4*20</f>
        <v>0</v>
      </c>
      <c r="AV4" s="87">
        <v>0.5</v>
      </c>
      <c r="AW4">
        <v>10</v>
      </c>
      <c r="AX4">
        <v>40</v>
      </c>
      <c r="AY4" s="87">
        <v>0</v>
      </c>
      <c r="AZ4">
        <f>ROUNDDOWN(H4*0.5,0)</f>
        <v>0</v>
      </c>
      <c r="BA4">
        <f>ROUNDDOWN(H4*3,0)</f>
        <v>0</v>
      </c>
      <c r="BB4" s="87">
        <v>0</v>
      </c>
      <c r="BC4">
        <v>0</v>
      </c>
      <c r="BD4">
        <v>0</v>
      </c>
      <c r="BE4" s="87">
        <v>0</v>
      </c>
      <c r="BF4">
        <v>0</v>
      </c>
      <c r="BG4">
        <v>0</v>
      </c>
      <c r="BH4" s="87">
        <v>0</v>
      </c>
      <c r="BI4">
        <v>0</v>
      </c>
      <c r="BJ4">
        <v>0</v>
      </c>
      <c r="BL4" s="87">
        <v>0.8</v>
      </c>
      <c r="BM4">
        <f t="shared" ref="BM4:BM17" si="12">B4*8</f>
        <v>1600</v>
      </c>
      <c r="BN4">
        <f t="shared" ref="BN4:BN17" si="13">B4*30</f>
        <v>6000</v>
      </c>
      <c r="BO4" s="87">
        <v>0.8</v>
      </c>
      <c r="BP4">
        <f t="shared" ref="BP4:BP17" si="14">D4*8</f>
        <v>3200</v>
      </c>
      <c r="BQ4">
        <f t="shared" ref="BQ4:BQ17" si="15">D4*30</f>
        <v>12000</v>
      </c>
      <c r="BR4" s="87">
        <v>0</v>
      </c>
      <c r="BS4">
        <f t="shared" ref="BS4:BS17" si="16">F4*6</f>
        <v>0</v>
      </c>
      <c r="BT4">
        <f t="shared" ref="BT4:BT17" si="17">F4*30</f>
        <v>0</v>
      </c>
      <c r="BU4" s="87">
        <v>0.65</v>
      </c>
      <c r="BV4">
        <v>20</v>
      </c>
      <c r="BW4">
        <v>50</v>
      </c>
      <c r="BX4" s="87">
        <v>0</v>
      </c>
      <c r="BY4">
        <f t="shared" ref="BY4" si="18">ROUNDDOWN(AG4*0.5,0)</f>
        <v>0</v>
      </c>
      <c r="BZ4">
        <f t="shared" ref="BZ4:BZ17" si="19">ROUNDDOWN(H4*4,0)</f>
        <v>0</v>
      </c>
      <c r="CA4" s="87">
        <v>0</v>
      </c>
      <c r="CB4">
        <v>0</v>
      </c>
      <c r="CC4">
        <v>0</v>
      </c>
      <c r="CD4" s="87">
        <v>0</v>
      </c>
      <c r="CE4">
        <v>0</v>
      </c>
      <c r="CF4">
        <v>0</v>
      </c>
      <c r="CG4" s="87">
        <v>0</v>
      </c>
      <c r="CH4">
        <v>0</v>
      </c>
      <c r="CI4">
        <v>0</v>
      </c>
    </row>
    <row r="5" spans="1:87">
      <c r="A5">
        <f>Numbers!A5</f>
        <v>3</v>
      </c>
      <c r="B5">
        <f>Numbers!CC5</f>
        <v>800</v>
      </c>
      <c r="C5">
        <f>Numbers!CD5</f>
        <v>8640</v>
      </c>
      <c r="D5">
        <f>Numbers!CI5</f>
        <v>800</v>
      </c>
      <c r="E5">
        <f>Numbers!CJ5</f>
        <v>8640</v>
      </c>
      <c r="F5">
        <f>Numbers!CO5</f>
        <v>0</v>
      </c>
      <c r="G5">
        <f>Numbers!CP5</f>
        <v>0</v>
      </c>
      <c r="H5">
        <f>Bots!D5</f>
        <v>3</v>
      </c>
      <c r="I5">
        <f>Bots!E5</f>
        <v>3</v>
      </c>
      <c r="J5">
        <f>Numbers!IY5</f>
        <v>0</v>
      </c>
      <c r="K5">
        <f>Numbers!IZ5</f>
        <v>0</v>
      </c>
      <c r="L5">
        <f>Numbers!JA5</f>
        <v>0</v>
      </c>
      <c r="N5" s="87">
        <v>0.8</v>
      </c>
      <c r="O5">
        <f t="shared" si="0"/>
        <v>1600</v>
      </c>
      <c r="P5">
        <f t="shared" si="1"/>
        <v>8000</v>
      </c>
      <c r="Q5" s="87">
        <v>0.8</v>
      </c>
      <c r="R5">
        <f t="shared" si="2"/>
        <v>1600</v>
      </c>
      <c r="S5">
        <f t="shared" si="3"/>
        <v>8000</v>
      </c>
      <c r="T5" s="87">
        <v>0</v>
      </c>
      <c r="U5">
        <f t="shared" si="4"/>
        <v>0</v>
      </c>
      <c r="V5">
        <f t="shared" si="5"/>
        <v>0</v>
      </c>
      <c r="W5" s="87">
        <v>0.5</v>
      </c>
      <c r="X5">
        <v>5</v>
      </c>
      <c r="Y5">
        <v>20</v>
      </c>
      <c r="Z5" s="87">
        <v>0.3</v>
      </c>
      <c r="AA5">
        <v>1</v>
      </c>
      <c r="AB5">
        <f>ROUNDDOWN(H5*1,0)</f>
        <v>3</v>
      </c>
      <c r="AC5" s="87">
        <v>0</v>
      </c>
      <c r="AD5">
        <v>0</v>
      </c>
      <c r="AE5">
        <v>0</v>
      </c>
      <c r="AF5" s="87">
        <v>0</v>
      </c>
      <c r="AG5">
        <v>0</v>
      </c>
      <c r="AH5">
        <v>0</v>
      </c>
      <c r="AI5" s="87">
        <v>0</v>
      </c>
      <c r="AJ5">
        <v>0</v>
      </c>
      <c r="AK5">
        <v>0</v>
      </c>
      <c r="AM5" s="87">
        <v>0.8</v>
      </c>
      <c r="AN5">
        <f t="shared" si="6"/>
        <v>4800</v>
      </c>
      <c r="AO5">
        <f t="shared" si="7"/>
        <v>16000</v>
      </c>
      <c r="AP5" s="87">
        <v>0.8</v>
      </c>
      <c r="AQ5">
        <f t="shared" si="8"/>
        <v>4800</v>
      </c>
      <c r="AR5">
        <f t="shared" si="9"/>
        <v>16000</v>
      </c>
      <c r="AS5" s="87">
        <v>0</v>
      </c>
      <c r="AT5">
        <f t="shared" si="10"/>
        <v>0</v>
      </c>
      <c r="AU5">
        <f t="shared" si="11"/>
        <v>0</v>
      </c>
      <c r="AV5" s="87">
        <v>0.5</v>
      </c>
      <c r="AW5">
        <v>10</v>
      </c>
      <c r="AX5">
        <v>40</v>
      </c>
      <c r="AY5" s="87">
        <v>0.35</v>
      </c>
      <c r="AZ5">
        <v>2</v>
      </c>
      <c r="BA5">
        <f>ROUNDDOWN(H5*2,0)</f>
        <v>6</v>
      </c>
      <c r="BB5" s="87">
        <v>0</v>
      </c>
      <c r="BC5">
        <v>0</v>
      </c>
      <c r="BD5">
        <v>0</v>
      </c>
      <c r="BE5" s="87">
        <v>0</v>
      </c>
      <c r="BF5">
        <v>0</v>
      </c>
      <c r="BG5">
        <v>0</v>
      </c>
      <c r="BH5" s="87">
        <v>0</v>
      </c>
      <c r="BI5">
        <v>0</v>
      </c>
      <c r="BJ5">
        <v>0</v>
      </c>
      <c r="BL5" s="87">
        <v>0.8</v>
      </c>
      <c r="BM5">
        <f t="shared" si="12"/>
        <v>6400</v>
      </c>
      <c r="BN5">
        <f t="shared" si="13"/>
        <v>24000</v>
      </c>
      <c r="BO5" s="87">
        <v>0.8</v>
      </c>
      <c r="BP5">
        <f t="shared" si="14"/>
        <v>6400</v>
      </c>
      <c r="BQ5">
        <f t="shared" si="15"/>
        <v>24000</v>
      </c>
      <c r="BR5" s="87">
        <v>0</v>
      </c>
      <c r="BS5">
        <f t="shared" si="16"/>
        <v>0</v>
      </c>
      <c r="BT5">
        <f t="shared" si="17"/>
        <v>0</v>
      </c>
      <c r="BU5" s="87">
        <v>0.65</v>
      </c>
      <c r="BV5">
        <v>20</v>
      </c>
      <c r="BW5">
        <v>50</v>
      </c>
      <c r="BX5" s="87">
        <v>0.35</v>
      </c>
      <c r="BY5">
        <v>2</v>
      </c>
      <c r="BZ5">
        <f t="shared" si="19"/>
        <v>12</v>
      </c>
      <c r="CA5" s="87">
        <v>0</v>
      </c>
      <c r="CB5">
        <v>0</v>
      </c>
      <c r="CC5">
        <v>0</v>
      </c>
      <c r="CD5" s="87">
        <v>0</v>
      </c>
      <c r="CE5">
        <v>0</v>
      </c>
      <c r="CF5">
        <v>0</v>
      </c>
      <c r="CG5" s="87">
        <v>0</v>
      </c>
      <c r="CH5">
        <v>0</v>
      </c>
      <c r="CI5">
        <v>0</v>
      </c>
    </row>
    <row r="6" spans="1:87">
      <c r="A6">
        <f>Numbers!A6</f>
        <v>4</v>
      </c>
      <c r="B6">
        <f>Numbers!CC6</f>
        <v>1600</v>
      </c>
      <c r="C6">
        <f>Numbers!CD6</f>
        <v>17280</v>
      </c>
      <c r="D6">
        <f>Numbers!CI6</f>
        <v>1600</v>
      </c>
      <c r="E6">
        <f>Numbers!CJ6</f>
        <v>17280</v>
      </c>
      <c r="F6">
        <f>Numbers!CO6</f>
        <v>0</v>
      </c>
      <c r="G6">
        <f>Numbers!CP6</f>
        <v>0</v>
      </c>
      <c r="H6">
        <f>Bots!D6</f>
        <v>5</v>
      </c>
      <c r="I6">
        <f>Bots!E6</f>
        <v>5</v>
      </c>
      <c r="J6">
        <f>Numbers!IY6</f>
        <v>0</v>
      </c>
      <c r="K6">
        <f>Numbers!IZ6</f>
        <v>0</v>
      </c>
      <c r="L6">
        <f>Numbers!JA6</f>
        <v>0</v>
      </c>
      <c r="N6" s="87">
        <v>0.5</v>
      </c>
      <c r="O6">
        <f t="shared" si="0"/>
        <v>3200</v>
      </c>
      <c r="P6">
        <f t="shared" si="1"/>
        <v>16000</v>
      </c>
      <c r="Q6" s="87">
        <v>0.5</v>
      </c>
      <c r="R6">
        <f t="shared" si="2"/>
        <v>3200</v>
      </c>
      <c r="S6">
        <f t="shared" si="3"/>
        <v>16000</v>
      </c>
      <c r="T6" s="87">
        <v>0</v>
      </c>
      <c r="U6">
        <f t="shared" si="4"/>
        <v>0</v>
      </c>
      <c r="V6">
        <f t="shared" si="5"/>
        <v>0</v>
      </c>
      <c r="W6" s="87">
        <v>0.5</v>
      </c>
      <c r="X6">
        <v>5</v>
      </c>
      <c r="Y6">
        <v>20</v>
      </c>
      <c r="Z6" s="87">
        <v>0.3</v>
      </c>
      <c r="AA6">
        <v>1</v>
      </c>
      <c r="AB6">
        <f t="shared" ref="AB6:AB17" si="20">ROUNDDOWN(H6*1,0)</f>
        <v>5</v>
      </c>
      <c r="AC6" s="87">
        <v>0.3</v>
      </c>
      <c r="AD6">
        <v>1</v>
      </c>
      <c r="AE6">
        <v>3</v>
      </c>
      <c r="AF6" s="87">
        <v>0</v>
      </c>
      <c r="AG6">
        <v>0</v>
      </c>
      <c r="AH6">
        <v>0</v>
      </c>
      <c r="AI6" s="87">
        <v>0</v>
      </c>
      <c r="AJ6">
        <v>0</v>
      </c>
      <c r="AK6">
        <v>0</v>
      </c>
      <c r="AM6" s="87">
        <v>0.5</v>
      </c>
      <c r="AN6">
        <f t="shared" si="6"/>
        <v>9600</v>
      </c>
      <c r="AO6">
        <f t="shared" si="7"/>
        <v>32000</v>
      </c>
      <c r="AP6" s="87">
        <v>0.5</v>
      </c>
      <c r="AQ6">
        <f t="shared" si="8"/>
        <v>9600</v>
      </c>
      <c r="AR6">
        <f t="shared" si="9"/>
        <v>32000</v>
      </c>
      <c r="AS6" s="87">
        <v>0</v>
      </c>
      <c r="AT6">
        <f t="shared" si="10"/>
        <v>0</v>
      </c>
      <c r="AU6">
        <f t="shared" si="11"/>
        <v>0</v>
      </c>
      <c r="AV6" s="87">
        <v>0.5</v>
      </c>
      <c r="AW6">
        <v>10</v>
      </c>
      <c r="AX6">
        <v>40</v>
      </c>
      <c r="AY6" s="87">
        <v>0.35</v>
      </c>
      <c r="AZ6">
        <v>2</v>
      </c>
      <c r="BA6">
        <f t="shared" ref="BA6:BA17" si="21">ROUNDDOWN(H6*2,0)</f>
        <v>10</v>
      </c>
      <c r="BB6" s="87">
        <v>0.35</v>
      </c>
      <c r="BC6">
        <v>1</v>
      </c>
      <c r="BD6">
        <v>5</v>
      </c>
      <c r="BE6" s="87">
        <v>0</v>
      </c>
      <c r="BF6">
        <v>0</v>
      </c>
      <c r="BG6">
        <v>0</v>
      </c>
      <c r="BH6" s="87">
        <v>0</v>
      </c>
      <c r="BI6">
        <v>0</v>
      </c>
      <c r="BJ6">
        <v>0</v>
      </c>
      <c r="BL6" s="87">
        <v>0.5</v>
      </c>
      <c r="BM6">
        <f t="shared" si="12"/>
        <v>12800</v>
      </c>
      <c r="BN6">
        <f t="shared" si="13"/>
        <v>48000</v>
      </c>
      <c r="BO6" s="87">
        <v>0.5</v>
      </c>
      <c r="BP6">
        <f t="shared" si="14"/>
        <v>12800</v>
      </c>
      <c r="BQ6">
        <f t="shared" si="15"/>
        <v>48000</v>
      </c>
      <c r="BR6" s="87">
        <v>0</v>
      </c>
      <c r="BS6">
        <f t="shared" si="16"/>
        <v>0</v>
      </c>
      <c r="BT6">
        <f t="shared" si="17"/>
        <v>0</v>
      </c>
      <c r="BU6" s="87">
        <v>0.65</v>
      </c>
      <c r="BV6">
        <v>20</v>
      </c>
      <c r="BW6">
        <v>50</v>
      </c>
      <c r="BX6" s="87">
        <v>0.35</v>
      </c>
      <c r="BY6">
        <v>2</v>
      </c>
      <c r="BZ6">
        <f t="shared" si="19"/>
        <v>20</v>
      </c>
      <c r="CA6" s="87">
        <v>0.35</v>
      </c>
      <c r="CB6">
        <v>2</v>
      </c>
      <c r="CC6">
        <v>5</v>
      </c>
      <c r="CD6" s="87">
        <v>0</v>
      </c>
      <c r="CE6">
        <v>0</v>
      </c>
      <c r="CF6">
        <v>0</v>
      </c>
      <c r="CG6" s="87">
        <v>0</v>
      </c>
      <c r="CH6">
        <v>0</v>
      </c>
      <c r="CI6">
        <v>0</v>
      </c>
    </row>
    <row r="7" spans="1:87">
      <c r="A7">
        <f>Numbers!A7</f>
        <v>5</v>
      </c>
      <c r="B7">
        <f>Numbers!CC7</f>
        <v>3600</v>
      </c>
      <c r="C7">
        <f>Numbers!CD7</f>
        <v>34600</v>
      </c>
      <c r="D7">
        <f>Numbers!CI7</f>
        <v>3600</v>
      </c>
      <c r="E7">
        <f>Numbers!CJ7</f>
        <v>34600</v>
      </c>
      <c r="F7">
        <f>Numbers!CO7</f>
        <v>0</v>
      </c>
      <c r="G7">
        <f>Numbers!CP7</f>
        <v>0</v>
      </c>
      <c r="H7">
        <f>Bots!D7</f>
        <v>7</v>
      </c>
      <c r="I7">
        <f>Bots!E7</f>
        <v>14</v>
      </c>
      <c r="J7">
        <f>Numbers!IY7</f>
        <v>3</v>
      </c>
      <c r="K7">
        <f>Numbers!IZ7</f>
        <v>0</v>
      </c>
      <c r="L7">
        <f>Numbers!JA7</f>
        <v>0</v>
      </c>
      <c r="N7" s="87">
        <v>0.5</v>
      </c>
      <c r="O7">
        <f t="shared" si="0"/>
        <v>7200</v>
      </c>
      <c r="P7">
        <f t="shared" si="1"/>
        <v>36000</v>
      </c>
      <c r="Q7" s="87">
        <v>0.5</v>
      </c>
      <c r="R7">
        <f t="shared" si="2"/>
        <v>7200</v>
      </c>
      <c r="S7">
        <f t="shared" si="3"/>
        <v>36000</v>
      </c>
      <c r="T7" s="87">
        <v>0</v>
      </c>
      <c r="U7">
        <f t="shared" si="4"/>
        <v>0</v>
      </c>
      <c r="V7">
        <f t="shared" si="5"/>
        <v>0</v>
      </c>
      <c r="W7" s="87">
        <v>0.5</v>
      </c>
      <c r="X7">
        <v>5</v>
      </c>
      <c r="Y7">
        <v>20</v>
      </c>
      <c r="Z7" s="87">
        <v>0.3</v>
      </c>
      <c r="AA7">
        <v>1</v>
      </c>
      <c r="AB7">
        <f t="shared" si="20"/>
        <v>7</v>
      </c>
      <c r="AC7" s="87">
        <v>0.3</v>
      </c>
      <c r="AD7">
        <v>1</v>
      </c>
      <c r="AE7">
        <v>4</v>
      </c>
      <c r="AF7" s="87">
        <v>0</v>
      </c>
      <c r="AG7">
        <v>0</v>
      </c>
      <c r="AH7">
        <v>0</v>
      </c>
      <c r="AI7" s="87">
        <v>0</v>
      </c>
      <c r="AJ7">
        <v>0</v>
      </c>
      <c r="AK7">
        <v>0</v>
      </c>
      <c r="AM7" s="87">
        <v>0.5</v>
      </c>
      <c r="AN7">
        <f t="shared" si="6"/>
        <v>21600</v>
      </c>
      <c r="AO7">
        <f t="shared" si="7"/>
        <v>72000</v>
      </c>
      <c r="AP7" s="87">
        <v>0.5</v>
      </c>
      <c r="AQ7">
        <f t="shared" si="8"/>
        <v>21600</v>
      </c>
      <c r="AR7">
        <f t="shared" si="9"/>
        <v>72000</v>
      </c>
      <c r="AS7" s="87">
        <v>0</v>
      </c>
      <c r="AT7">
        <f t="shared" si="10"/>
        <v>0</v>
      </c>
      <c r="AU7">
        <f t="shared" si="11"/>
        <v>0</v>
      </c>
      <c r="AV7" s="87">
        <v>0.5</v>
      </c>
      <c r="AW7">
        <v>10</v>
      </c>
      <c r="AX7">
        <v>40</v>
      </c>
      <c r="AY7" s="87">
        <v>0.35</v>
      </c>
      <c r="AZ7">
        <v>2</v>
      </c>
      <c r="BA7">
        <f t="shared" si="21"/>
        <v>14</v>
      </c>
      <c r="BB7" s="87">
        <v>0.35</v>
      </c>
      <c r="BC7">
        <v>1</v>
      </c>
      <c r="BD7">
        <v>6</v>
      </c>
      <c r="BE7" s="87">
        <v>0</v>
      </c>
      <c r="BF7">
        <v>0</v>
      </c>
      <c r="BG7">
        <v>0</v>
      </c>
      <c r="BH7" s="87">
        <v>0</v>
      </c>
      <c r="BI7">
        <v>0</v>
      </c>
      <c r="BJ7">
        <v>0</v>
      </c>
      <c r="BL7" s="87">
        <v>0.5</v>
      </c>
      <c r="BM7">
        <f t="shared" si="12"/>
        <v>28800</v>
      </c>
      <c r="BN7">
        <f t="shared" si="13"/>
        <v>108000</v>
      </c>
      <c r="BO7" s="87">
        <v>0.5</v>
      </c>
      <c r="BP7">
        <f t="shared" si="14"/>
        <v>28800</v>
      </c>
      <c r="BQ7">
        <f t="shared" si="15"/>
        <v>108000</v>
      </c>
      <c r="BR7" s="87">
        <v>0</v>
      </c>
      <c r="BS7">
        <f t="shared" si="16"/>
        <v>0</v>
      </c>
      <c r="BT7">
        <f t="shared" si="17"/>
        <v>0</v>
      </c>
      <c r="BU7" s="87">
        <v>0.65</v>
      </c>
      <c r="BV7">
        <v>20</v>
      </c>
      <c r="BW7">
        <v>50</v>
      </c>
      <c r="BX7" s="87">
        <v>0.35</v>
      </c>
      <c r="BY7">
        <v>2</v>
      </c>
      <c r="BZ7">
        <f t="shared" si="19"/>
        <v>28</v>
      </c>
      <c r="CA7" s="87">
        <v>0.35</v>
      </c>
      <c r="CB7">
        <v>2</v>
      </c>
      <c r="CC7">
        <v>6</v>
      </c>
      <c r="CD7" s="87">
        <v>0</v>
      </c>
      <c r="CE7">
        <v>0</v>
      </c>
      <c r="CF7">
        <v>0</v>
      </c>
      <c r="CG7" s="87">
        <v>0</v>
      </c>
      <c r="CH7">
        <v>0</v>
      </c>
      <c r="CI7">
        <v>0</v>
      </c>
    </row>
    <row r="8" spans="1:87">
      <c r="A8">
        <f>Numbers!A8</f>
        <v>6</v>
      </c>
      <c r="B8">
        <f>Numbers!CC8</f>
        <v>5400</v>
      </c>
      <c r="C8">
        <f>Numbers!CD8</f>
        <v>107500</v>
      </c>
      <c r="D8">
        <f>Numbers!CI8</f>
        <v>5400</v>
      </c>
      <c r="E8">
        <f>Numbers!CJ8</f>
        <v>107500</v>
      </c>
      <c r="F8">
        <f>Numbers!CO8</f>
        <v>0</v>
      </c>
      <c r="G8">
        <f>Numbers!CP8</f>
        <v>0</v>
      </c>
      <c r="H8">
        <f>Bots!D8</f>
        <v>9</v>
      </c>
      <c r="I8">
        <f>Bots!E8</f>
        <v>18</v>
      </c>
      <c r="J8">
        <f>Numbers!IY8</f>
        <v>5</v>
      </c>
      <c r="K8">
        <f>Numbers!IZ8</f>
        <v>0</v>
      </c>
      <c r="L8">
        <f>Numbers!JA8</f>
        <v>0</v>
      </c>
      <c r="N8" s="87">
        <v>0.5</v>
      </c>
      <c r="O8">
        <f t="shared" si="0"/>
        <v>10800</v>
      </c>
      <c r="P8">
        <f t="shared" si="1"/>
        <v>54000</v>
      </c>
      <c r="Q8" s="87">
        <v>0.5</v>
      </c>
      <c r="R8">
        <f t="shared" si="2"/>
        <v>10800</v>
      </c>
      <c r="S8">
        <f t="shared" si="3"/>
        <v>54000</v>
      </c>
      <c r="T8" s="87">
        <v>0</v>
      </c>
      <c r="U8">
        <f t="shared" si="4"/>
        <v>0</v>
      </c>
      <c r="V8">
        <f t="shared" si="5"/>
        <v>0</v>
      </c>
      <c r="W8" s="87">
        <v>0.5</v>
      </c>
      <c r="X8">
        <v>5</v>
      </c>
      <c r="Y8">
        <v>20</v>
      </c>
      <c r="Z8" s="87">
        <v>0.3</v>
      </c>
      <c r="AA8">
        <v>1</v>
      </c>
      <c r="AB8">
        <f t="shared" si="20"/>
        <v>9</v>
      </c>
      <c r="AC8" s="87">
        <v>0.3</v>
      </c>
      <c r="AD8">
        <v>1</v>
      </c>
      <c r="AE8">
        <v>5</v>
      </c>
      <c r="AF8" s="87">
        <v>0</v>
      </c>
      <c r="AG8">
        <v>0</v>
      </c>
      <c r="AH8">
        <v>0</v>
      </c>
      <c r="AI8" s="87">
        <v>0</v>
      </c>
      <c r="AJ8">
        <v>0</v>
      </c>
      <c r="AK8">
        <v>0</v>
      </c>
      <c r="AM8" s="87">
        <v>0.5</v>
      </c>
      <c r="AN8">
        <f t="shared" si="6"/>
        <v>32400</v>
      </c>
      <c r="AO8">
        <f t="shared" si="7"/>
        <v>108000</v>
      </c>
      <c r="AP8" s="87">
        <v>0.5</v>
      </c>
      <c r="AQ8">
        <f t="shared" si="8"/>
        <v>32400</v>
      </c>
      <c r="AR8">
        <f t="shared" si="9"/>
        <v>108000</v>
      </c>
      <c r="AS8" s="87">
        <v>0</v>
      </c>
      <c r="AT8">
        <f t="shared" si="10"/>
        <v>0</v>
      </c>
      <c r="AU8">
        <f t="shared" si="11"/>
        <v>0</v>
      </c>
      <c r="AV8" s="87">
        <v>0.5</v>
      </c>
      <c r="AW8">
        <v>10</v>
      </c>
      <c r="AX8">
        <v>40</v>
      </c>
      <c r="AY8" s="87">
        <v>0.35</v>
      </c>
      <c r="AZ8">
        <v>2</v>
      </c>
      <c r="BA8">
        <f t="shared" si="21"/>
        <v>18</v>
      </c>
      <c r="BB8" s="87">
        <v>0.35</v>
      </c>
      <c r="BC8">
        <v>1</v>
      </c>
      <c r="BD8">
        <v>7</v>
      </c>
      <c r="BE8" s="87">
        <v>0</v>
      </c>
      <c r="BF8">
        <v>0</v>
      </c>
      <c r="BG8">
        <v>0</v>
      </c>
      <c r="BH8" s="87">
        <v>0</v>
      </c>
      <c r="BI8">
        <v>0</v>
      </c>
      <c r="BJ8">
        <v>0</v>
      </c>
      <c r="BL8" s="87">
        <v>0.5</v>
      </c>
      <c r="BM8">
        <f t="shared" si="12"/>
        <v>43200</v>
      </c>
      <c r="BN8">
        <f t="shared" si="13"/>
        <v>162000</v>
      </c>
      <c r="BO8" s="87">
        <v>0.5</v>
      </c>
      <c r="BP8">
        <f t="shared" si="14"/>
        <v>43200</v>
      </c>
      <c r="BQ8">
        <f t="shared" si="15"/>
        <v>162000</v>
      </c>
      <c r="BR8" s="87">
        <v>0</v>
      </c>
      <c r="BS8">
        <f t="shared" si="16"/>
        <v>0</v>
      </c>
      <c r="BT8">
        <f t="shared" si="17"/>
        <v>0</v>
      </c>
      <c r="BU8" s="87">
        <v>0.65</v>
      </c>
      <c r="BV8">
        <v>20</v>
      </c>
      <c r="BW8">
        <v>50</v>
      </c>
      <c r="BX8" s="87">
        <v>0.35</v>
      </c>
      <c r="BY8">
        <v>2</v>
      </c>
      <c r="BZ8">
        <f t="shared" si="19"/>
        <v>36</v>
      </c>
      <c r="CA8" s="87">
        <v>0.35</v>
      </c>
      <c r="CB8">
        <v>2</v>
      </c>
      <c r="CC8">
        <v>7</v>
      </c>
      <c r="CD8" s="87">
        <v>0</v>
      </c>
      <c r="CE8">
        <v>0</v>
      </c>
      <c r="CF8">
        <v>0</v>
      </c>
      <c r="CG8" s="87">
        <v>0</v>
      </c>
      <c r="CH8">
        <v>0</v>
      </c>
      <c r="CI8">
        <v>0</v>
      </c>
    </row>
    <row r="9" spans="1:87">
      <c r="A9">
        <f>Numbers!A9</f>
        <v>7</v>
      </c>
      <c r="B9">
        <f>Numbers!CC9</f>
        <v>10800</v>
      </c>
      <c r="C9">
        <f>Numbers!CD9</f>
        <v>192000</v>
      </c>
      <c r="D9">
        <f>Numbers!CI9</f>
        <v>8100</v>
      </c>
      <c r="E9">
        <f>Numbers!CJ9</f>
        <v>192000</v>
      </c>
      <c r="F9">
        <f>Numbers!CO9</f>
        <v>2160</v>
      </c>
      <c r="G9">
        <f>Numbers!CP9</f>
        <v>92300</v>
      </c>
      <c r="H9">
        <f>Bots!D9</f>
        <v>11</v>
      </c>
      <c r="I9">
        <f>Bots!E9</f>
        <v>22</v>
      </c>
      <c r="J9">
        <f>Numbers!IY9</f>
        <v>7</v>
      </c>
      <c r="K9">
        <f>Numbers!IZ9</f>
        <v>0</v>
      </c>
      <c r="L9">
        <f>Numbers!JA9</f>
        <v>0</v>
      </c>
      <c r="N9" s="87">
        <v>0.5</v>
      </c>
      <c r="O9">
        <f t="shared" si="0"/>
        <v>21600</v>
      </c>
      <c r="P9">
        <f t="shared" si="1"/>
        <v>108000</v>
      </c>
      <c r="Q9" s="87">
        <v>0.5</v>
      </c>
      <c r="R9">
        <f t="shared" si="2"/>
        <v>16200</v>
      </c>
      <c r="S9">
        <f t="shared" si="3"/>
        <v>81000</v>
      </c>
      <c r="T9" s="87">
        <v>0.3</v>
      </c>
      <c r="U9">
        <f t="shared" si="4"/>
        <v>4320</v>
      </c>
      <c r="V9">
        <f t="shared" si="5"/>
        <v>21600</v>
      </c>
      <c r="W9" s="87">
        <v>0.5</v>
      </c>
      <c r="X9">
        <v>5</v>
      </c>
      <c r="Y9">
        <v>20</v>
      </c>
      <c r="Z9" s="87">
        <v>0.3</v>
      </c>
      <c r="AA9">
        <v>1</v>
      </c>
      <c r="AB9">
        <f t="shared" si="20"/>
        <v>11</v>
      </c>
      <c r="AC9" s="87">
        <v>0.3</v>
      </c>
      <c r="AD9">
        <v>1</v>
      </c>
      <c r="AE9">
        <v>6</v>
      </c>
      <c r="AF9" s="87">
        <v>0.3</v>
      </c>
      <c r="AG9">
        <v>1</v>
      </c>
      <c r="AH9">
        <v>3</v>
      </c>
      <c r="AI9" s="87">
        <v>0</v>
      </c>
      <c r="AJ9">
        <v>0</v>
      </c>
      <c r="AK9">
        <v>0</v>
      </c>
      <c r="AM9" s="87">
        <v>0.5</v>
      </c>
      <c r="AN9">
        <f t="shared" si="6"/>
        <v>64800</v>
      </c>
      <c r="AO9">
        <f t="shared" si="7"/>
        <v>216000</v>
      </c>
      <c r="AP9" s="87">
        <v>0.5</v>
      </c>
      <c r="AQ9">
        <f t="shared" si="8"/>
        <v>48600</v>
      </c>
      <c r="AR9">
        <f t="shared" si="9"/>
        <v>162000</v>
      </c>
      <c r="AS9" s="87">
        <v>0.5</v>
      </c>
      <c r="AT9">
        <f t="shared" si="10"/>
        <v>8640</v>
      </c>
      <c r="AU9">
        <f t="shared" si="11"/>
        <v>43200</v>
      </c>
      <c r="AV9" s="87">
        <v>0.5</v>
      </c>
      <c r="AW9">
        <v>10</v>
      </c>
      <c r="AX9">
        <v>40</v>
      </c>
      <c r="AY9" s="87">
        <v>0.35</v>
      </c>
      <c r="AZ9">
        <v>2</v>
      </c>
      <c r="BA9">
        <f t="shared" si="21"/>
        <v>22</v>
      </c>
      <c r="BB9" s="87">
        <v>0.35</v>
      </c>
      <c r="BC9">
        <v>1</v>
      </c>
      <c r="BD9">
        <v>8</v>
      </c>
      <c r="BE9" s="87">
        <v>0.35</v>
      </c>
      <c r="BF9">
        <v>1</v>
      </c>
      <c r="BG9">
        <v>4</v>
      </c>
      <c r="BH9" s="87">
        <v>0</v>
      </c>
      <c r="BI9">
        <v>0</v>
      </c>
      <c r="BJ9">
        <v>0</v>
      </c>
      <c r="BL9" s="87">
        <v>0.5</v>
      </c>
      <c r="BM9">
        <f t="shared" si="12"/>
        <v>86400</v>
      </c>
      <c r="BN9">
        <f t="shared" si="13"/>
        <v>324000</v>
      </c>
      <c r="BO9" s="87">
        <v>0.5</v>
      </c>
      <c r="BP9">
        <f t="shared" si="14"/>
        <v>64800</v>
      </c>
      <c r="BQ9">
        <f t="shared" si="15"/>
        <v>243000</v>
      </c>
      <c r="BR9" s="87">
        <v>0.5</v>
      </c>
      <c r="BS9">
        <f t="shared" si="16"/>
        <v>12960</v>
      </c>
      <c r="BT9">
        <f t="shared" si="17"/>
        <v>64800</v>
      </c>
      <c r="BU9" s="87">
        <v>0.65</v>
      </c>
      <c r="BV9">
        <v>20</v>
      </c>
      <c r="BW9">
        <v>50</v>
      </c>
      <c r="BX9" s="87">
        <v>0.35</v>
      </c>
      <c r="BY9">
        <v>2</v>
      </c>
      <c r="BZ9">
        <f t="shared" si="19"/>
        <v>44</v>
      </c>
      <c r="CA9" s="87">
        <v>0.35</v>
      </c>
      <c r="CB9">
        <v>2</v>
      </c>
      <c r="CC9">
        <v>8</v>
      </c>
      <c r="CD9" s="87">
        <v>0.35</v>
      </c>
      <c r="CE9">
        <v>2</v>
      </c>
      <c r="CF9">
        <v>4</v>
      </c>
      <c r="CG9" s="87">
        <v>0</v>
      </c>
      <c r="CH9">
        <v>0</v>
      </c>
      <c r="CI9">
        <v>0</v>
      </c>
    </row>
    <row r="10" spans="1:87">
      <c r="A10">
        <f>Numbers!A10</f>
        <v>8</v>
      </c>
      <c r="B10">
        <f>Numbers!CC10</f>
        <v>12960</v>
      </c>
      <c r="C10">
        <f>Numbers!CD10</f>
        <v>483000</v>
      </c>
      <c r="D10">
        <f>Numbers!CI10</f>
        <v>12960</v>
      </c>
      <c r="E10">
        <f>Numbers!CJ10</f>
        <v>345000</v>
      </c>
      <c r="F10">
        <f>Numbers!CO10</f>
        <v>2590</v>
      </c>
      <c r="G10">
        <f>Numbers!CP10</f>
        <v>166500</v>
      </c>
      <c r="H10">
        <f>Bots!D10</f>
        <v>13</v>
      </c>
      <c r="I10">
        <f>Bots!E10</f>
        <v>26</v>
      </c>
      <c r="J10">
        <f>Numbers!IY10</f>
        <v>9</v>
      </c>
      <c r="K10">
        <f>Numbers!IZ10</f>
        <v>3</v>
      </c>
      <c r="L10">
        <f>Numbers!JA10</f>
        <v>0</v>
      </c>
      <c r="N10" s="87">
        <v>0.5</v>
      </c>
      <c r="O10">
        <f t="shared" si="0"/>
        <v>25920</v>
      </c>
      <c r="P10">
        <f t="shared" si="1"/>
        <v>129600</v>
      </c>
      <c r="Q10" s="87">
        <v>0.5</v>
      </c>
      <c r="R10">
        <f t="shared" si="2"/>
        <v>25920</v>
      </c>
      <c r="S10">
        <f t="shared" si="3"/>
        <v>129600</v>
      </c>
      <c r="T10" s="87">
        <v>0.3</v>
      </c>
      <c r="U10">
        <f t="shared" si="4"/>
        <v>5180</v>
      </c>
      <c r="V10">
        <f t="shared" si="5"/>
        <v>25900</v>
      </c>
      <c r="W10" s="87">
        <v>0.5</v>
      </c>
      <c r="X10">
        <v>5</v>
      </c>
      <c r="Y10">
        <v>20</v>
      </c>
      <c r="Z10" s="87">
        <v>0.3</v>
      </c>
      <c r="AA10">
        <v>1</v>
      </c>
      <c r="AB10">
        <f t="shared" si="20"/>
        <v>13</v>
      </c>
      <c r="AC10" s="87">
        <v>0.3</v>
      </c>
      <c r="AD10">
        <v>1</v>
      </c>
      <c r="AE10">
        <v>7</v>
      </c>
      <c r="AF10" s="87">
        <v>0.3</v>
      </c>
      <c r="AG10">
        <v>1</v>
      </c>
      <c r="AH10">
        <v>5</v>
      </c>
      <c r="AI10" s="87">
        <v>0</v>
      </c>
      <c r="AJ10">
        <v>0</v>
      </c>
      <c r="AK10">
        <v>0</v>
      </c>
      <c r="AM10" s="87">
        <v>0.5</v>
      </c>
      <c r="AN10">
        <f t="shared" si="6"/>
        <v>77760</v>
      </c>
      <c r="AO10">
        <f t="shared" si="7"/>
        <v>259200</v>
      </c>
      <c r="AP10" s="87">
        <v>0.5</v>
      </c>
      <c r="AQ10">
        <f t="shared" si="8"/>
        <v>77760</v>
      </c>
      <c r="AR10">
        <f t="shared" si="9"/>
        <v>259200</v>
      </c>
      <c r="AS10" s="87">
        <v>0.5</v>
      </c>
      <c r="AT10">
        <f t="shared" si="10"/>
        <v>10360</v>
      </c>
      <c r="AU10">
        <f t="shared" si="11"/>
        <v>51800</v>
      </c>
      <c r="AV10" s="87">
        <v>0.5</v>
      </c>
      <c r="AW10">
        <v>10</v>
      </c>
      <c r="AX10">
        <v>40</v>
      </c>
      <c r="AY10" s="87">
        <v>0.35</v>
      </c>
      <c r="AZ10">
        <v>2</v>
      </c>
      <c r="BA10">
        <f t="shared" si="21"/>
        <v>26</v>
      </c>
      <c r="BB10" s="87">
        <v>0.35</v>
      </c>
      <c r="BC10">
        <v>1</v>
      </c>
      <c r="BD10">
        <v>9</v>
      </c>
      <c r="BE10" s="87">
        <v>0.35</v>
      </c>
      <c r="BF10">
        <v>1</v>
      </c>
      <c r="BG10">
        <v>6</v>
      </c>
      <c r="BH10" s="87">
        <v>0</v>
      </c>
      <c r="BI10">
        <v>0</v>
      </c>
      <c r="BJ10">
        <v>0</v>
      </c>
      <c r="BL10" s="87">
        <v>0.5</v>
      </c>
      <c r="BM10">
        <f t="shared" si="12"/>
        <v>103680</v>
      </c>
      <c r="BN10">
        <f t="shared" si="13"/>
        <v>388800</v>
      </c>
      <c r="BO10" s="87">
        <v>0.5</v>
      </c>
      <c r="BP10">
        <f t="shared" si="14"/>
        <v>103680</v>
      </c>
      <c r="BQ10">
        <f t="shared" si="15"/>
        <v>388800</v>
      </c>
      <c r="BR10" s="87">
        <v>0.5</v>
      </c>
      <c r="BS10">
        <f t="shared" si="16"/>
        <v>15540</v>
      </c>
      <c r="BT10">
        <f t="shared" si="17"/>
        <v>77700</v>
      </c>
      <c r="BU10" s="87">
        <v>0.65</v>
      </c>
      <c r="BV10">
        <v>20</v>
      </c>
      <c r="BW10">
        <v>50</v>
      </c>
      <c r="BX10" s="87">
        <v>0.35</v>
      </c>
      <c r="BY10">
        <v>2</v>
      </c>
      <c r="BZ10">
        <f t="shared" si="19"/>
        <v>52</v>
      </c>
      <c r="CA10" s="87">
        <v>0.35</v>
      </c>
      <c r="CB10">
        <v>2</v>
      </c>
      <c r="CC10">
        <v>9</v>
      </c>
      <c r="CD10" s="87">
        <v>0.35</v>
      </c>
      <c r="CE10">
        <v>2</v>
      </c>
      <c r="CF10">
        <v>6</v>
      </c>
      <c r="CG10" s="87">
        <v>0</v>
      </c>
      <c r="CH10">
        <v>0</v>
      </c>
      <c r="CI10">
        <v>0</v>
      </c>
    </row>
    <row r="11" spans="1:87">
      <c r="A11">
        <f>Numbers!A11</f>
        <v>9</v>
      </c>
      <c r="B11">
        <f>Numbers!CC11</f>
        <v>15560</v>
      </c>
      <c r="C11">
        <f>Numbers!CD11</f>
        <v>871000</v>
      </c>
      <c r="D11">
        <f>Numbers!CI11</f>
        <v>15560</v>
      </c>
      <c r="E11">
        <f>Numbers!CJ11</f>
        <v>622000</v>
      </c>
      <c r="F11">
        <f>Numbers!CO11</f>
        <v>6220</v>
      </c>
      <c r="G11">
        <f>Numbers!CP11</f>
        <v>298500</v>
      </c>
      <c r="H11">
        <f>Bots!D11</f>
        <v>15</v>
      </c>
      <c r="I11">
        <f>Bots!E11</f>
        <v>45</v>
      </c>
      <c r="J11">
        <f>Numbers!IY11</f>
        <v>11</v>
      </c>
      <c r="K11">
        <f>Numbers!IZ11</f>
        <v>5</v>
      </c>
      <c r="L11">
        <f>Numbers!JA11</f>
        <v>0</v>
      </c>
      <c r="N11" s="87">
        <v>0.5</v>
      </c>
      <c r="O11">
        <f t="shared" si="0"/>
        <v>31120</v>
      </c>
      <c r="P11">
        <f t="shared" si="1"/>
        <v>155600</v>
      </c>
      <c r="Q11" s="87">
        <v>0.5</v>
      </c>
      <c r="R11">
        <f t="shared" si="2"/>
        <v>31120</v>
      </c>
      <c r="S11">
        <f t="shared" si="3"/>
        <v>155600</v>
      </c>
      <c r="T11" s="87">
        <v>0.3</v>
      </c>
      <c r="U11">
        <f t="shared" si="4"/>
        <v>12440</v>
      </c>
      <c r="V11">
        <f t="shared" si="5"/>
        <v>62200</v>
      </c>
      <c r="W11" s="87">
        <v>0.5</v>
      </c>
      <c r="X11">
        <v>5</v>
      </c>
      <c r="Y11">
        <v>20</v>
      </c>
      <c r="Z11" s="87">
        <v>0.3</v>
      </c>
      <c r="AA11">
        <v>1</v>
      </c>
      <c r="AB11">
        <f t="shared" si="20"/>
        <v>15</v>
      </c>
      <c r="AC11" s="87">
        <v>0.3</v>
      </c>
      <c r="AD11">
        <v>1</v>
      </c>
      <c r="AE11">
        <v>8</v>
      </c>
      <c r="AF11" s="87">
        <v>0.3</v>
      </c>
      <c r="AG11">
        <v>1</v>
      </c>
      <c r="AH11">
        <v>7</v>
      </c>
      <c r="AI11" s="87">
        <v>0</v>
      </c>
      <c r="AJ11">
        <v>0</v>
      </c>
      <c r="AK11">
        <v>0</v>
      </c>
      <c r="AM11" s="87">
        <v>0.5</v>
      </c>
      <c r="AN11">
        <f t="shared" si="6"/>
        <v>93360</v>
      </c>
      <c r="AO11">
        <f t="shared" si="7"/>
        <v>311200</v>
      </c>
      <c r="AP11" s="87">
        <v>0.5</v>
      </c>
      <c r="AQ11">
        <f t="shared" si="8"/>
        <v>93360</v>
      </c>
      <c r="AR11">
        <f t="shared" si="9"/>
        <v>311200</v>
      </c>
      <c r="AS11" s="87">
        <v>0.5</v>
      </c>
      <c r="AT11">
        <f t="shared" si="10"/>
        <v>24880</v>
      </c>
      <c r="AU11">
        <f t="shared" si="11"/>
        <v>124400</v>
      </c>
      <c r="AV11" s="87">
        <v>0.5</v>
      </c>
      <c r="AW11">
        <v>10</v>
      </c>
      <c r="AX11">
        <v>40</v>
      </c>
      <c r="AY11" s="87">
        <v>0.35</v>
      </c>
      <c r="AZ11">
        <v>2</v>
      </c>
      <c r="BA11">
        <f t="shared" si="21"/>
        <v>30</v>
      </c>
      <c r="BB11" s="87">
        <v>0.35</v>
      </c>
      <c r="BC11">
        <v>1</v>
      </c>
      <c r="BD11">
        <v>10</v>
      </c>
      <c r="BE11" s="87">
        <v>0.35</v>
      </c>
      <c r="BF11">
        <v>1</v>
      </c>
      <c r="BG11">
        <v>8</v>
      </c>
      <c r="BH11" s="87">
        <v>0</v>
      </c>
      <c r="BI11">
        <v>0</v>
      </c>
      <c r="BJ11">
        <v>0</v>
      </c>
      <c r="BL11" s="87">
        <v>0.5</v>
      </c>
      <c r="BM11">
        <f t="shared" si="12"/>
        <v>124480</v>
      </c>
      <c r="BN11">
        <f t="shared" si="13"/>
        <v>466800</v>
      </c>
      <c r="BO11" s="87">
        <v>0.5</v>
      </c>
      <c r="BP11">
        <f t="shared" si="14"/>
        <v>124480</v>
      </c>
      <c r="BQ11">
        <f t="shared" si="15"/>
        <v>466800</v>
      </c>
      <c r="BR11" s="87">
        <v>0.5</v>
      </c>
      <c r="BS11">
        <f t="shared" si="16"/>
        <v>37320</v>
      </c>
      <c r="BT11">
        <f t="shared" si="17"/>
        <v>186600</v>
      </c>
      <c r="BU11" s="87">
        <v>0.65</v>
      </c>
      <c r="BV11">
        <v>20</v>
      </c>
      <c r="BW11">
        <v>50</v>
      </c>
      <c r="BX11" s="87">
        <v>0.35</v>
      </c>
      <c r="BY11">
        <v>2</v>
      </c>
      <c r="BZ11">
        <f t="shared" si="19"/>
        <v>60</v>
      </c>
      <c r="CA11" s="87">
        <v>0.35</v>
      </c>
      <c r="CB11">
        <v>2</v>
      </c>
      <c r="CC11">
        <v>10</v>
      </c>
      <c r="CD11" s="87">
        <v>0.35</v>
      </c>
      <c r="CE11">
        <v>2</v>
      </c>
      <c r="CF11">
        <v>8</v>
      </c>
      <c r="CG11" s="87">
        <v>0</v>
      </c>
      <c r="CH11">
        <v>0</v>
      </c>
      <c r="CI11">
        <v>0</v>
      </c>
    </row>
    <row r="12" spans="1:87">
      <c r="A12">
        <f>Numbers!A12</f>
        <v>10</v>
      </c>
      <c r="B12">
        <f>Numbers!CC12</f>
        <v>18680</v>
      </c>
      <c r="C12">
        <f>Numbers!CD12</f>
        <v>1565000</v>
      </c>
      <c r="D12">
        <f>Numbers!CI12</f>
        <v>18680</v>
      </c>
      <c r="E12">
        <f>Numbers!CJ12</f>
        <v>1565000</v>
      </c>
      <c r="F12">
        <f>Numbers!CO12</f>
        <v>7480</v>
      </c>
      <c r="G12">
        <f>Numbers!CP12</f>
        <v>892000</v>
      </c>
      <c r="H12">
        <f>Bots!D12</f>
        <v>17</v>
      </c>
      <c r="I12">
        <f>Bots!E12</f>
        <v>51</v>
      </c>
      <c r="J12">
        <f>Numbers!IY12</f>
        <v>13</v>
      </c>
      <c r="K12">
        <f>Numbers!IZ12</f>
        <v>7</v>
      </c>
      <c r="L12">
        <f>Numbers!JA12</f>
        <v>0</v>
      </c>
      <c r="N12" s="87">
        <v>0.5</v>
      </c>
      <c r="O12">
        <f t="shared" si="0"/>
        <v>37360</v>
      </c>
      <c r="P12">
        <f t="shared" si="1"/>
        <v>186800</v>
      </c>
      <c r="Q12" s="87">
        <v>0.5</v>
      </c>
      <c r="R12">
        <f t="shared" si="2"/>
        <v>37360</v>
      </c>
      <c r="S12">
        <f t="shared" si="3"/>
        <v>186800</v>
      </c>
      <c r="T12" s="87">
        <v>0.3</v>
      </c>
      <c r="U12">
        <f t="shared" si="4"/>
        <v>14960</v>
      </c>
      <c r="V12">
        <f t="shared" si="5"/>
        <v>74800</v>
      </c>
      <c r="W12" s="87">
        <v>0.5</v>
      </c>
      <c r="X12">
        <v>5</v>
      </c>
      <c r="Y12">
        <v>20</v>
      </c>
      <c r="Z12" s="87">
        <v>0.3</v>
      </c>
      <c r="AA12">
        <v>1</v>
      </c>
      <c r="AB12">
        <f t="shared" si="20"/>
        <v>17</v>
      </c>
      <c r="AC12" s="87">
        <v>0.3</v>
      </c>
      <c r="AD12">
        <v>1</v>
      </c>
      <c r="AE12">
        <v>9</v>
      </c>
      <c r="AF12" s="87">
        <v>0.3</v>
      </c>
      <c r="AG12">
        <v>1</v>
      </c>
      <c r="AH12">
        <v>9</v>
      </c>
      <c r="AI12" s="87">
        <v>0</v>
      </c>
      <c r="AJ12">
        <v>0</v>
      </c>
      <c r="AK12">
        <v>0</v>
      </c>
      <c r="AM12" s="87">
        <v>0.5</v>
      </c>
      <c r="AN12">
        <f t="shared" si="6"/>
        <v>112080</v>
      </c>
      <c r="AO12">
        <f t="shared" si="7"/>
        <v>373600</v>
      </c>
      <c r="AP12" s="87">
        <v>0.5</v>
      </c>
      <c r="AQ12">
        <f t="shared" si="8"/>
        <v>112080</v>
      </c>
      <c r="AR12">
        <f t="shared" si="9"/>
        <v>373600</v>
      </c>
      <c r="AS12" s="87">
        <v>0.5</v>
      </c>
      <c r="AT12">
        <f t="shared" si="10"/>
        <v>29920</v>
      </c>
      <c r="AU12">
        <f t="shared" si="11"/>
        <v>149600</v>
      </c>
      <c r="AV12" s="87">
        <v>0.5</v>
      </c>
      <c r="AW12">
        <v>10</v>
      </c>
      <c r="AX12">
        <v>40</v>
      </c>
      <c r="AY12" s="87">
        <v>0.35</v>
      </c>
      <c r="AZ12">
        <v>2</v>
      </c>
      <c r="BA12">
        <f t="shared" si="21"/>
        <v>34</v>
      </c>
      <c r="BB12" s="87">
        <v>0.35</v>
      </c>
      <c r="BC12">
        <v>1</v>
      </c>
      <c r="BD12">
        <v>11</v>
      </c>
      <c r="BE12" s="87">
        <v>0.35</v>
      </c>
      <c r="BF12">
        <v>1</v>
      </c>
      <c r="BG12">
        <v>10</v>
      </c>
      <c r="BH12" s="87">
        <v>0</v>
      </c>
      <c r="BI12">
        <v>0</v>
      </c>
      <c r="BJ12">
        <v>0</v>
      </c>
      <c r="BL12" s="87">
        <v>0.5</v>
      </c>
      <c r="BM12">
        <f t="shared" si="12"/>
        <v>149440</v>
      </c>
      <c r="BN12">
        <f t="shared" si="13"/>
        <v>560400</v>
      </c>
      <c r="BO12" s="87">
        <v>0.5</v>
      </c>
      <c r="BP12">
        <f t="shared" si="14"/>
        <v>149440</v>
      </c>
      <c r="BQ12">
        <f t="shared" si="15"/>
        <v>560400</v>
      </c>
      <c r="BR12" s="87">
        <v>0.5</v>
      </c>
      <c r="BS12">
        <f t="shared" si="16"/>
        <v>44880</v>
      </c>
      <c r="BT12">
        <f t="shared" si="17"/>
        <v>224400</v>
      </c>
      <c r="BU12" s="87">
        <v>0.65</v>
      </c>
      <c r="BV12">
        <v>20</v>
      </c>
      <c r="BW12">
        <v>50</v>
      </c>
      <c r="BX12" s="87">
        <v>0.35</v>
      </c>
      <c r="BY12">
        <v>2</v>
      </c>
      <c r="BZ12">
        <f t="shared" si="19"/>
        <v>68</v>
      </c>
      <c r="CA12" s="87">
        <v>0.35</v>
      </c>
      <c r="CB12">
        <v>2</v>
      </c>
      <c r="CC12">
        <v>11</v>
      </c>
      <c r="CD12" s="87">
        <v>0.35</v>
      </c>
      <c r="CE12">
        <v>2</v>
      </c>
      <c r="CF12">
        <v>10</v>
      </c>
      <c r="CG12" s="87">
        <v>0</v>
      </c>
      <c r="CH12">
        <v>0</v>
      </c>
      <c r="CI12">
        <v>0</v>
      </c>
    </row>
    <row r="13" spans="1:87">
      <c r="A13">
        <f>Numbers!A13</f>
        <v>11</v>
      </c>
      <c r="B13">
        <f>Numbers!CC13</f>
        <v>22400</v>
      </c>
      <c r="C13">
        <f>Numbers!CD13</f>
        <v>2814000</v>
      </c>
      <c r="D13">
        <f>Numbers!CI13</f>
        <v>22400</v>
      </c>
      <c r="E13">
        <f>Numbers!CJ13</f>
        <v>2814000</v>
      </c>
      <c r="F13">
        <f>Numbers!CO13</f>
        <v>8960</v>
      </c>
      <c r="G13">
        <f>Numbers!CP13</f>
        <v>1605000</v>
      </c>
      <c r="H13">
        <f>Bots!D13</f>
        <v>18</v>
      </c>
      <c r="I13">
        <f>Bots!E13</f>
        <v>54</v>
      </c>
      <c r="J13">
        <f>Numbers!IY13</f>
        <v>15</v>
      </c>
      <c r="K13">
        <f>Numbers!IZ13</f>
        <v>9</v>
      </c>
      <c r="L13">
        <f>Numbers!JA13</f>
        <v>0</v>
      </c>
      <c r="N13" s="87">
        <v>0.5</v>
      </c>
      <c r="O13">
        <f t="shared" si="0"/>
        <v>44800</v>
      </c>
      <c r="P13">
        <f t="shared" si="1"/>
        <v>224000</v>
      </c>
      <c r="Q13" s="87">
        <v>0.5</v>
      </c>
      <c r="R13">
        <f t="shared" si="2"/>
        <v>44800</v>
      </c>
      <c r="S13">
        <f t="shared" si="3"/>
        <v>224000</v>
      </c>
      <c r="T13" s="87">
        <v>0.3</v>
      </c>
      <c r="U13">
        <f t="shared" si="4"/>
        <v>17920</v>
      </c>
      <c r="V13">
        <f t="shared" si="5"/>
        <v>89600</v>
      </c>
      <c r="W13" s="87">
        <v>0.5</v>
      </c>
      <c r="X13">
        <v>5</v>
      </c>
      <c r="Y13">
        <v>20</v>
      </c>
      <c r="Z13" s="87">
        <v>0.3</v>
      </c>
      <c r="AA13">
        <v>1</v>
      </c>
      <c r="AB13">
        <f t="shared" si="20"/>
        <v>18</v>
      </c>
      <c r="AC13" s="87">
        <v>0.3</v>
      </c>
      <c r="AD13">
        <v>1</v>
      </c>
      <c r="AE13">
        <v>10</v>
      </c>
      <c r="AF13" s="87">
        <v>0.3</v>
      </c>
      <c r="AG13">
        <v>1</v>
      </c>
      <c r="AH13">
        <v>11</v>
      </c>
      <c r="AI13" s="87">
        <v>0</v>
      </c>
      <c r="AJ13">
        <v>0</v>
      </c>
      <c r="AK13">
        <v>0</v>
      </c>
      <c r="AM13" s="87">
        <v>0.5</v>
      </c>
      <c r="AN13">
        <f t="shared" si="6"/>
        <v>134400</v>
      </c>
      <c r="AO13">
        <f t="shared" si="7"/>
        <v>448000</v>
      </c>
      <c r="AP13" s="87">
        <v>0.5</v>
      </c>
      <c r="AQ13">
        <f t="shared" si="8"/>
        <v>134400</v>
      </c>
      <c r="AR13">
        <f t="shared" si="9"/>
        <v>448000</v>
      </c>
      <c r="AS13" s="87">
        <v>0.5</v>
      </c>
      <c r="AT13">
        <f t="shared" si="10"/>
        <v>35840</v>
      </c>
      <c r="AU13">
        <f t="shared" si="11"/>
        <v>179200</v>
      </c>
      <c r="AV13" s="87">
        <v>0.5</v>
      </c>
      <c r="AW13">
        <v>10</v>
      </c>
      <c r="AX13">
        <v>40</v>
      </c>
      <c r="AY13" s="87">
        <v>0.35</v>
      </c>
      <c r="AZ13">
        <v>2</v>
      </c>
      <c r="BA13">
        <f t="shared" si="21"/>
        <v>36</v>
      </c>
      <c r="BB13" s="87">
        <v>0.35</v>
      </c>
      <c r="BC13">
        <v>1</v>
      </c>
      <c r="BD13">
        <v>12</v>
      </c>
      <c r="BE13" s="87">
        <v>0.35</v>
      </c>
      <c r="BF13">
        <v>1</v>
      </c>
      <c r="BG13">
        <v>12</v>
      </c>
      <c r="BH13" s="87">
        <v>0</v>
      </c>
      <c r="BI13">
        <v>0</v>
      </c>
      <c r="BJ13">
        <v>0</v>
      </c>
      <c r="BL13" s="87">
        <v>0.5</v>
      </c>
      <c r="BM13">
        <f t="shared" si="12"/>
        <v>179200</v>
      </c>
      <c r="BN13">
        <f t="shared" si="13"/>
        <v>672000</v>
      </c>
      <c r="BO13" s="87">
        <v>0.5</v>
      </c>
      <c r="BP13">
        <f t="shared" si="14"/>
        <v>179200</v>
      </c>
      <c r="BQ13">
        <f t="shared" si="15"/>
        <v>672000</v>
      </c>
      <c r="BR13" s="87">
        <v>0.5</v>
      </c>
      <c r="BS13">
        <f t="shared" si="16"/>
        <v>53760</v>
      </c>
      <c r="BT13">
        <f t="shared" si="17"/>
        <v>268800</v>
      </c>
      <c r="BU13" s="87">
        <v>0.65</v>
      </c>
      <c r="BV13">
        <v>20</v>
      </c>
      <c r="BW13">
        <v>50</v>
      </c>
      <c r="BX13" s="87">
        <v>0.35</v>
      </c>
      <c r="BY13">
        <v>2</v>
      </c>
      <c r="BZ13">
        <f t="shared" si="19"/>
        <v>72</v>
      </c>
      <c r="CA13" s="87">
        <v>0.35</v>
      </c>
      <c r="CB13">
        <v>2</v>
      </c>
      <c r="CC13">
        <v>12</v>
      </c>
      <c r="CD13" s="87">
        <v>0.35</v>
      </c>
      <c r="CE13">
        <v>2</v>
      </c>
      <c r="CF13">
        <v>12</v>
      </c>
      <c r="CG13" s="87">
        <v>0</v>
      </c>
      <c r="CH13">
        <v>0</v>
      </c>
      <c r="CI13">
        <v>0</v>
      </c>
    </row>
    <row r="14" spans="1:87">
      <c r="A14">
        <f>Numbers!A14</f>
        <v>12</v>
      </c>
      <c r="B14">
        <f>Numbers!CC14</f>
        <v>26880</v>
      </c>
      <c r="C14">
        <f>Numbers!CD14</f>
        <v>3640000</v>
      </c>
      <c r="D14">
        <f>Numbers!CI14</f>
        <v>26880</v>
      </c>
      <c r="E14">
        <f>Numbers!CJ14</f>
        <v>3640000</v>
      </c>
      <c r="F14">
        <f>Numbers!CO14</f>
        <v>10760</v>
      </c>
      <c r="G14">
        <f>Numbers!CP14</f>
        <v>2085000</v>
      </c>
      <c r="H14">
        <f>Bots!D14</f>
        <v>19</v>
      </c>
      <c r="I14">
        <f>Bots!E14</f>
        <v>57</v>
      </c>
      <c r="J14">
        <f>Numbers!IY14</f>
        <v>17</v>
      </c>
      <c r="K14">
        <f>Numbers!IZ14</f>
        <v>11</v>
      </c>
      <c r="L14">
        <f>Numbers!JA14</f>
        <v>0</v>
      </c>
      <c r="N14" s="87">
        <v>0.5</v>
      </c>
      <c r="O14">
        <f t="shared" si="0"/>
        <v>53760</v>
      </c>
      <c r="P14">
        <f t="shared" si="1"/>
        <v>268800</v>
      </c>
      <c r="Q14" s="87">
        <v>0.5</v>
      </c>
      <c r="R14">
        <f t="shared" si="2"/>
        <v>53760</v>
      </c>
      <c r="S14">
        <f t="shared" si="3"/>
        <v>268800</v>
      </c>
      <c r="T14" s="87">
        <v>0.3</v>
      </c>
      <c r="U14">
        <f t="shared" si="4"/>
        <v>21520</v>
      </c>
      <c r="V14">
        <f t="shared" si="5"/>
        <v>107600</v>
      </c>
      <c r="W14" s="87">
        <v>0.5</v>
      </c>
      <c r="X14">
        <v>5</v>
      </c>
      <c r="Y14">
        <v>20</v>
      </c>
      <c r="Z14" s="87">
        <v>0.3</v>
      </c>
      <c r="AA14">
        <v>1</v>
      </c>
      <c r="AB14">
        <f t="shared" si="20"/>
        <v>19</v>
      </c>
      <c r="AC14" s="87">
        <v>0.3</v>
      </c>
      <c r="AD14">
        <v>1</v>
      </c>
      <c r="AE14">
        <v>11</v>
      </c>
      <c r="AF14" s="87">
        <v>0.3</v>
      </c>
      <c r="AG14">
        <v>1</v>
      </c>
      <c r="AH14">
        <v>13</v>
      </c>
      <c r="AI14" s="87">
        <v>0.3</v>
      </c>
      <c r="AJ14">
        <v>1</v>
      </c>
      <c r="AK14">
        <v>3</v>
      </c>
      <c r="AM14" s="87">
        <v>0.5</v>
      </c>
      <c r="AN14">
        <f t="shared" si="6"/>
        <v>161280</v>
      </c>
      <c r="AO14">
        <f t="shared" si="7"/>
        <v>537600</v>
      </c>
      <c r="AP14" s="87">
        <v>0.5</v>
      </c>
      <c r="AQ14">
        <f t="shared" si="8"/>
        <v>161280</v>
      </c>
      <c r="AR14">
        <f t="shared" si="9"/>
        <v>537600</v>
      </c>
      <c r="AS14" s="87">
        <v>0.5</v>
      </c>
      <c r="AT14">
        <f t="shared" si="10"/>
        <v>43040</v>
      </c>
      <c r="AU14">
        <f t="shared" si="11"/>
        <v>215200</v>
      </c>
      <c r="AV14" s="87">
        <v>0.5</v>
      </c>
      <c r="AW14">
        <v>10</v>
      </c>
      <c r="AX14">
        <v>40</v>
      </c>
      <c r="AY14" s="87">
        <v>0.35</v>
      </c>
      <c r="AZ14">
        <v>2</v>
      </c>
      <c r="BA14">
        <f t="shared" si="21"/>
        <v>38</v>
      </c>
      <c r="BB14" s="87">
        <v>0.35</v>
      </c>
      <c r="BC14">
        <v>1</v>
      </c>
      <c r="BD14">
        <v>13</v>
      </c>
      <c r="BE14" s="87">
        <v>0.35</v>
      </c>
      <c r="BF14">
        <v>1</v>
      </c>
      <c r="BG14">
        <v>14</v>
      </c>
      <c r="BH14" s="87">
        <v>0.35</v>
      </c>
      <c r="BI14">
        <v>1</v>
      </c>
      <c r="BJ14">
        <v>3</v>
      </c>
      <c r="BL14" s="87">
        <v>0.5</v>
      </c>
      <c r="BM14">
        <f t="shared" si="12"/>
        <v>215040</v>
      </c>
      <c r="BN14">
        <f t="shared" si="13"/>
        <v>806400</v>
      </c>
      <c r="BO14" s="87">
        <v>0.5</v>
      </c>
      <c r="BP14">
        <f t="shared" si="14"/>
        <v>215040</v>
      </c>
      <c r="BQ14">
        <f t="shared" si="15"/>
        <v>806400</v>
      </c>
      <c r="BR14" s="87">
        <v>0.5</v>
      </c>
      <c r="BS14">
        <f t="shared" si="16"/>
        <v>64560</v>
      </c>
      <c r="BT14">
        <f t="shared" si="17"/>
        <v>322800</v>
      </c>
      <c r="BU14" s="87">
        <v>0.65</v>
      </c>
      <c r="BV14">
        <v>20</v>
      </c>
      <c r="BW14">
        <v>50</v>
      </c>
      <c r="BX14" s="87">
        <v>0.35</v>
      </c>
      <c r="BY14">
        <v>2</v>
      </c>
      <c r="BZ14">
        <f t="shared" si="19"/>
        <v>76</v>
      </c>
      <c r="CA14" s="87">
        <v>0.35</v>
      </c>
      <c r="CB14">
        <v>2</v>
      </c>
      <c r="CC14">
        <v>13</v>
      </c>
      <c r="CD14" s="87">
        <v>0.35</v>
      </c>
      <c r="CE14">
        <v>2</v>
      </c>
      <c r="CF14">
        <v>14</v>
      </c>
      <c r="CG14" s="87">
        <v>0.35</v>
      </c>
      <c r="CH14">
        <v>2</v>
      </c>
      <c r="CI14">
        <v>3</v>
      </c>
    </row>
    <row r="15" spans="1:87">
      <c r="A15">
        <f>Numbers!A15</f>
        <v>13</v>
      </c>
      <c r="B15">
        <f>Numbers!CC15</f>
        <v>32240</v>
      </c>
      <c r="C15">
        <f>Numbers!CD15</f>
        <v>4760000</v>
      </c>
      <c r="D15">
        <f>Numbers!CI15</f>
        <v>32240</v>
      </c>
      <c r="E15">
        <f>Numbers!CJ15</f>
        <v>4760000</v>
      </c>
      <c r="F15">
        <f>Numbers!CO15</f>
        <v>12900</v>
      </c>
      <c r="G15">
        <f>Numbers!CP15</f>
        <v>2725000</v>
      </c>
      <c r="H15">
        <f>Bots!D15</f>
        <v>20</v>
      </c>
      <c r="I15">
        <f>Bots!E15</f>
        <v>80</v>
      </c>
      <c r="J15">
        <f>Numbers!IY15</f>
        <v>19</v>
      </c>
      <c r="K15">
        <f>Numbers!IZ15</f>
        <v>13</v>
      </c>
      <c r="L15">
        <f>Numbers!JA15</f>
        <v>3</v>
      </c>
      <c r="N15" s="87">
        <v>0.5</v>
      </c>
      <c r="O15">
        <f t="shared" si="0"/>
        <v>64480</v>
      </c>
      <c r="P15">
        <f t="shared" si="1"/>
        <v>322400</v>
      </c>
      <c r="Q15" s="87">
        <v>0.5</v>
      </c>
      <c r="R15">
        <f t="shared" si="2"/>
        <v>64480</v>
      </c>
      <c r="S15">
        <f t="shared" si="3"/>
        <v>322400</v>
      </c>
      <c r="T15" s="87">
        <v>0.3</v>
      </c>
      <c r="U15">
        <f t="shared" si="4"/>
        <v>25800</v>
      </c>
      <c r="V15">
        <f t="shared" si="5"/>
        <v>129000</v>
      </c>
      <c r="W15" s="87">
        <v>0.5</v>
      </c>
      <c r="X15">
        <v>5</v>
      </c>
      <c r="Y15">
        <v>20</v>
      </c>
      <c r="Z15" s="87">
        <v>0.3</v>
      </c>
      <c r="AA15">
        <v>1</v>
      </c>
      <c r="AB15">
        <f t="shared" si="20"/>
        <v>20</v>
      </c>
      <c r="AC15" s="87">
        <v>0.3</v>
      </c>
      <c r="AD15">
        <v>1</v>
      </c>
      <c r="AE15">
        <v>12</v>
      </c>
      <c r="AF15" s="87">
        <v>0.3</v>
      </c>
      <c r="AG15">
        <v>1</v>
      </c>
      <c r="AH15">
        <v>15</v>
      </c>
      <c r="AI15" s="87">
        <v>0.3</v>
      </c>
      <c r="AJ15">
        <v>1</v>
      </c>
      <c r="AK15">
        <v>9</v>
      </c>
      <c r="AM15" s="87">
        <v>0.5</v>
      </c>
      <c r="AN15">
        <f t="shared" si="6"/>
        <v>193440</v>
      </c>
      <c r="AO15">
        <f t="shared" si="7"/>
        <v>644800</v>
      </c>
      <c r="AP15" s="87">
        <v>0.5</v>
      </c>
      <c r="AQ15">
        <f t="shared" si="8"/>
        <v>193440</v>
      </c>
      <c r="AR15">
        <f t="shared" si="9"/>
        <v>644800</v>
      </c>
      <c r="AS15" s="87">
        <v>0.5</v>
      </c>
      <c r="AT15">
        <f t="shared" si="10"/>
        <v>51600</v>
      </c>
      <c r="AU15">
        <f t="shared" si="11"/>
        <v>258000</v>
      </c>
      <c r="AV15" s="87">
        <v>0.5</v>
      </c>
      <c r="AW15">
        <v>10</v>
      </c>
      <c r="AX15">
        <v>40</v>
      </c>
      <c r="AY15" s="87">
        <v>0.35</v>
      </c>
      <c r="AZ15">
        <v>2</v>
      </c>
      <c r="BA15">
        <f t="shared" si="21"/>
        <v>40</v>
      </c>
      <c r="BB15" s="87">
        <v>0.35</v>
      </c>
      <c r="BC15">
        <v>1</v>
      </c>
      <c r="BD15">
        <v>14</v>
      </c>
      <c r="BE15" s="87">
        <v>0.35</v>
      </c>
      <c r="BF15">
        <v>1</v>
      </c>
      <c r="BG15">
        <v>16</v>
      </c>
      <c r="BH15" s="87">
        <v>0.35</v>
      </c>
      <c r="BI15">
        <v>1</v>
      </c>
      <c r="BJ15">
        <v>9</v>
      </c>
      <c r="BL15" s="87">
        <v>0.5</v>
      </c>
      <c r="BM15">
        <f t="shared" si="12"/>
        <v>257920</v>
      </c>
      <c r="BN15">
        <f t="shared" si="13"/>
        <v>967200</v>
      </c>
      <c r="BO15" s="87">
        <v>0.5</v>
      </c>
      <c r="BP15">
        <f t="shared" si="14"/>
        <v>257920</v>
      </c>
      <c r="BQ15">
        <f t="shared" si="15"/>
        <v>967200</v>
      </c>
      <c r="BR15" s="87">
        <v>0.5</v>
      </c>
      <c r="BS15">
        <f t="shared" si="16"/>
        <v>77400</v>
      </c>
      <c r="BT15">
        <f t="shared" si="17"/>
        <v>387000</v>
      </c>
      <c r="BU15" s="87">
        <v>0.65</v>
      </c>
      <c r="BV15">
        <v>20</v>
      </c>
      <c r="BW15">
        <v>50</v>
      </c>
      <c r="BX15" s="87">
        <v>0.35</v>
      </c>
      <c r="BY15">
        <v>2</v>
      </c>
      <c r="BZ15">
        <f t="shared" si="19"/>
        <v>80</v>
      </c>
      <c r="CA15" s="87">
        <v>0.35</v>
      </c>
      <c r="CB15">
        <v>2</v>
      </c>
      <c r="CC15">
        <v>14</v>
      </c>
      <c r="CD15" s="87">
        <v>0.35</v>
      </c>
      <c r="CE15">
        <v>2</v>
      </c>
      <c r="CF15">
        <v>16</v>
      </c>
      <c r="CG15" s="87">
        <v>0.35</v>
      </c>
      <c r="CH15">
        <v>2</v>
      </c>
      <c r="CI15">
        <v>9</v>
      </c>
    </row>
    <row r="16" spans="1:87">
      <c r="A16">
        <f>Numbers!A16</f>
        <v>14</v>
      </c>
      <c r="B16">
        <f>Numbers!CC16</f>
        <v>38680</v>
      </c>
      <c r="C16">
        <f>Numbers!CD16</f>
        <v>6160000</v>
      </c>
      <c r="D16">
        <f>Numbers!CI16</f>
        <v>38680</v>
      </c>
      <c r="E16">
        <f>Numbers!CJ16</f>
        <v>6160000</v>
      </c>
      <c r="F16">
        <f>Numbers!CO16</f>
        <v>15480</v>
      </c>
      <c r="G16">
        <f>Numbers!CP16</f>
        <v>3525000</v>
      </c>
      <c r="H16">
        <f>Bots!D16</f>
        <v>21</v>
      </c>
      <c r="I16">
        <f>Bots!E16</f>
        <v>84</v>
      </c>
      <c r="J16">
        <f>Numbers!IY16</f>
        <v>21</v>
      </c>
      <c r="K16">
        <f>Numbers!IZ16</f>
        <v>15</v>
      </c>
      <c r="L16">
        <f>Numbers!JA16</f>
        <v>5</v>
      </c>
      <c r="N16" s="87">
        <v>0.5</v>
      </c>
      <c r="O16">
        <f t="shared" si="0"/>
        <v>77360</v>
      </c>
      <c r="P16">
        <f t="shared" si="1"/>
        <v>386800</v>
      </c>
      <c r="Q16" s="87">
        <v>0.5</v>
      </c>
      <c r="R16">
        <f t="shared" si="2"/>
        <v>77360</v>
      </c>
      <c r="S16">
        <f t="shared" si="3"/>
        <v>386800</v>
      </c>
      <c r="T16" s="87">
        <v>0.3</v>
      </c>
      <c r="U16">
        <f t="shared" si="4"/>
        <v>30960</v>
      </c>
      <c r="V16">
        <f t="shared" si="5"/>
        <v>154800</v>
      </c>
      <c r="W16" s="87">
        <v>0.5</v>
      </c>
      <c r="X16">
        <v>5</v>
      </c>
      <c r="Y16">
        <v>20</v>
      </c>
      <c r="Z16" s="87">
        <v>0.3</v>
      </c>
      <c r="AA16">
        <v>1</v>
      </c>
      <c r="AB16">
        <f t="shared" si="20"/>
        <v>21</v>
      </c>
      <c r="AC16" s="87">
        <v>0.3</v>
      </c>
      <c r="AD16">
        <v>1</v>
      </c>
      <c r="AE16">
        <v>13</v>
      </c>
      <c r="AF16" s="87">
        <v>0.3</v>
      </c>
      <c r="AG16">
        <v>1</v>
      </c>
      <c r="AH16">
        <v>17</v>
      </c>
      <c r="AI16" s="87">
        <v>0.3</v>
      </c>
      <c r="AJ16">
        <v>1</v>
      </c>
      <c r="AK16">
        <v>12</v>
      </c>
      <c r="AM16" s="87">
        <v>0.5</v>
      </c>
      <c r="AN16">
        <f t="shared" si="6"/>
        <v>232080</v>
      </c>
      <c r="AO16">
        <f t="shared" si="7"/>
        <v>773600</v>
      </c>
      <c r="AP16" s="87">
        <v>0.5</v>
      </c>
      <c r="AQ16">
        <f t="shared" si="8"/>
        <v>232080</v>
      </c>
      <c r="AR16">
        <f t="shared" si="9"/>
        <v>773600</v>
      </c>
      <c r="AS16" s="87">
        <v>0.5</v>
      </c>
      <c r="AT16">
        <f t="shared" si="10"/>
        <v>61920</v>
      </c>
      <c r="AU16">
        <f t="shared" si="11"/>
        <v>309600</v>
      </c>
      <c r="AV16" s="87">
        <v>0.5</v>
      </c>
      <c r="AW16">
        <v>10</v>
      </c>
      <c r="AX16">
        <v>40</v>
      </c>
      <c r="AY16" s="87">
        <v>0.35</v>
      </c>
      <c r="AZ16">
        <v>2</v>
      </c>
      <c r="BA16">
        <f t="shared" si="21"/>
        <v>42</v>
      </c>
      <c r="BB16" s="87">
        <v>0.35</v>
      </c>
      <c r="BC16">
        <v>1</v>
      </c>
      <c r="BD16">
        <v>15</v>
      </c>
      <c r="BE16" s="87">
        <v>0.35</v>
      </c>
      <c r="BF16">
        <v>1</v>
      </c>
      <c r="BG16">
        <v>18</v>
      </c>
      <c r="BH16" s="87">
        <v>0.35</v>
      </c>
      <c r="BI16">
        <v>1</v>
      </c>
      <c r="BJ16">
        <v>12</v>
      </c>
      <c r="BL16" s="87">
        <v>0.5</v>
      </c>
      <c r="BM16">
        <f t="shared" si="12"/>
        <v>309440</v>
      </c>
      <c r="BN16">
        <f t="shared" si="13"/>
        <v>1160400</v>
      </c>
      <c r="BO16" s="87">
        <v>0.5</v>
      </c>
      <c r="BP16">
        <f t="shared" si="14"/>
        <v>309440</v>
      </c>
      <c r="BQ16">
        <f t="shared" si="15"/>
        <v>1160400</v>
      </c>
      <c r="BR16" s="87">
        <v>0.5</v>
      </c>
      <c r="BS16">
        <f t="shared" si="16"/>
        <v>92880</v>
      </c>
      <c r="BT16">
        <f t="shared" si="17"/>
        <v>464400</v>
      </c>
      <c r="BU16" s="87">
        <v>0.65</v>
      </c>
      <c r="BV16">
        <v>20</v>
      </c>
      <c r="BW16">
        <v>50</v>
      </c>
      <c r="BX16" s="87">
        <v>0.35</v>
      </c>
      <c r="BY16">
        <v>2</v>
      </c>
      <c r="BZ16">
        <f t="shared" si="19"/>
        <v>84</v>
      </c>
      <c r="CA16" s="87">
        <v>0.35</v>
      </c>
      <c r="CB16">
        <v>2</v>
      </c>
      <c r="CC16">
        <v>15</v>
      </c>
      <c r="CD16" s="87">
        <v>0.35</v>
      </c>
      <c r="CE16">
        <v>2</v>
      </c>
      <c r="CF16">
        <v>18</v>
      </c>
      <c r="CG16" s="87">
        <v>0.35</v>
      </c>
      <c r="CH16">
        <v>2</v>
      </c>
      <c r="CI16">
        <v>12</v>
      </c>
    </row>
    <row r="17" spans="1:87">
      <c r="A17">
        <f>Numbers!A17</f>
        <v>15</v>
      </c>
      <c r="B17">
        <f>Numbers!CC17</f>
        <v>46400</v>
      </c>
      <c r="C17">
        <f>Numbers!CD17</f>
        <v>8010000</v>
      </c>
      <c r="D17">
        <f>Numbers!CI17</f>
        <v>46400</v>
      </c>
      <c r="E17">
        <f>Numbers!CJ17</f>
        <v>8010000</v>
      </c>
      <c r="F17">
        <f>Numbers!CO17</f>
        <v>18560</v>
      </c>
      <c r="G17">
        <f>Numbers!CP17</f>
        <v>4575000</v>
      </c>
      <c r="H17">
        <f>Bots!D17</f>
        <v>22</v>
      </c>
      <c r="I17">
        <f>Bots!E17</f>
        <v>88</v>
      </c>
      <c r="J17">
        <f>Numbers!IY17</f>
        <v>23</v>
      </c>
      <c r="K17">
        <f>Numbers!IZ17</f>
        <v>17</v>
      </c>
      <c r="L17">
        <f>Numbers!JA17</f>
        <v>7</v>
      </c>
      <c r="N17" s="87">
        <v>0.5</v>
      </c>
      <c r="O17">
        <f t="shared" si="0"/>
        <v>92800</v>
      </c>
      <c r="P17">
        <f t="shared" si="1"/>
        <v>464000</v>
      </c>
      <c r="Q17" s="87">
        <v>0.5</v>
      </c>
      <c r="R17">
        <f t="shared" si="2"/>
        <v>92800</v>
      </c>
      <c r="S17">
        <f t="shared" si="3"/>
        <v>464000</v>
      </c>
      <c r="T17" s="87">
        <v>0.3</v>
      </c>
      <c r="U17">
        <f t="shared" si="4"/>
        <v>37120</v>
      </c>
      <c r="V17">
        <f t="shared" si="5"/>
        <v>185600</v>
      </c>
      <c r="W17" s="87">
        <v>0.5</v>
      </c>
      <c r="X17">
        <v>5</v>
      </c>
      <c r="Y17">
        <v>20</v>
      </c>
      <c r="Z17" s="87">
        <v>0.3</v>
      </c>
      <c r="AA17">
        <v>1</v>
      </c>
      <c r="AB17">
        <f t="shared" si="20"/>
        <v>22</v>
      </c>
      <c r="AC17" s="87">
        <v>0.3</v>
      </c>
      <c r="AD17">
        <v>1</v>
      </c>
      <c r="AE17">
        <v>14</v>
      </c>
      <c r="AF17" s="87">
        <v>0.3</v>
      </c>
      <c r="AG17">
        <v>1</v>
      </c>
      <c r="AH17">
        <v>19</v>
      </c>
      <c r="AI17" s="87">
        <v>0.3</v>
      </c>
      <c r="AJ17">
        <v>1</v>
      </c>
      <c r="AK17">
        <v>15</v>
      </c>
      <c r="AM17" s="87">
        <v>0.5</v>
      </c>
      <c r="AN17">
        <f t="shared" si="6"/>
        <v>278400</v>
      </c>
      <c r="AO17">
        <f t="shared" si="7"/>
        <v>928000</v>
      </c>
      <c r="AP17" s="87">
        <v>0.5</v>
      </c>
      <c r="AQ17">
        <f t="shared" si="8"/>
        <v>278400</v>
      </c>
      <c r="AR17">
        <f t="shared" si="9"/>
        <v>928000</v>
      </c>
      <c r="AS17" s="87">
        <v>0.5</v>
      </c>
      <c r="AT17">
        <f t="shared" si="10"/>
        <v>74240</v>
      </c>
      <c r="AU17">
        <f t="shared" si="11"/>
        <v>371200</v>
      </c>
      <c r="AV17" s="87">
        <v>0.5</v>
      </c>
      <c r="AW17">
        <v>10</v>
      </c>
      <c r="AX17">
        <v>40</v>
      </c>
      <c r="AY17" s="87">
        <v>0.35</v>
      </c>
      <c r="AZ17">
        <v>2</v>
      </c>
      <c r="BA17">
        <f t="shared" si="21"/>
        <v>44</v>
      </c>
      <c r="BB17" s="87">
        <v>0.35</v>
      </c>
      <c r="BC17">
        <v>1</v>
      </c>
      <c r="BD17">
        <v>16</v>
      </c>
      <c r="BE17" s="87">
        <v>0.35</v>
      </c>
      <c r="BF17">
        <v>1</v>
      </c>
      <c r="BG17">
        <v>20</v>
      </c>
      <c r="BH17" s="87">
        <v>0.35</v>
      </c>
      <c r="BI17">
        <v>1</v>
      </c>
      <c r="BJ17">
        <v>15</v>
      </c>
      <c r="BL17" s="87">
        <v>0.5</v>
      </c>
      <c r="BM17">
        <f t="shared" si="12"/>
        <v>371200</v>
      </c>
      <c r="BN17">
        <f t="shared" si="13"/>
        <v>1392000</v>
      </c>
      <c r="BO17" s="87">
        <v>0.5</v>
      </c>
      <c r="BP17">
        <f t="shared" si="14"/>
        <v>371200</v>
      </c>
      <c r="BQ17">
        <f t="shared" si="15"/>
        <v>1392000</v>
      </c>
      <c r="BR17" s="87">
        <v>0.5</v>
      </c>
      <c r="BS17">
        <f t="shared" si="16"/>
        <v>111360</v>
      </c>
      <c r="BT17">
        <f t="shared" si="17"/>
        <v>556800</v>
      </c>
      <c r="BU17" s="87">
        <v>0.65</v>
      </c>
      <c r="BV17">
        <v>20</v>
      </c>
      <c r="BW17">
        <v>50</v>
      </c>
      <c r="BX17" s="87">
        <v>0.35</v>
      </c>
      <c r="BY17">
        <v>2</v>
      </c>
      <c r="BZ17">
        <f t="shared" si="19"/>
        <v>88</v>
      </c>
      <c r="CA17" s="87">
        <v>0.35</v>
      </c>
      <c r="CB17">
        <v>2</v>
      </c>
      <c r="CC17">
        <v>16</v>
      </c>
      <c r="CD17" s="87">
        <v>0.35</v>
      </c>
      <c r="CE17">
        <v>2</v>
      </c>
      <c r="CF17">
        <v>20</v>
      </c>
      <c r="CG17" s="87">
        <v>0.35</v>
      </c>
      <c r="CH17">
        <v>2</v>
      </c>
      <c r="CI17">
        <v>15</v>
      </c>
    </row>
  </sheetData>
  <mergeCells count="1">
    <mergeCell ref="A1:L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2" sqref="C2"/>
    </sheetView>
  </sheetViews>
  <sheetFormatPr baseColWidth="10" defaultRowHeight="15" x14ac:dyDescent="0"/>
  <cols>
    <col min="1" max="3" width="32.1640625" customWidth="1"/>
  </cols>
  <sheetData>
    <row r="1" spans="1:3">
      <c r="A1" t="s">
        <v>234</v>
      </c>
      <c r="B1" t="s">
        <v>259</v>
      </c>
      <c r="C1" t="s">
        <v>260</v>
      </c>
    </row>
    <row r="2" spans="1:3">
      <c r="A2" s="3" t="s">
        <v>446</v>
      </c>
      <c r="B2" s="1"/>
      <c r="C2" s="1"/>
    </row>
    <row r="3" spans="1:3">
      <c r="A3" s="3" t="s">
        <v>447</v>
      </c>
    </row>
    <row r="4" spans="1:3">
      <c r="A4" t="s">
        <v>445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F12" sqref="F12"/>
    </sheetView>
  </sheetViews>
  <sheetFormatPr baseColWidth="10" defaultRowHeight="15" x14ac:dyDescent="0"/>
  <sheetData>
    <row r="1" spans="1:6">
      <c r="A1" t="s">
        <v>268</v>
      </c>
      <c r="B1" t="s">
        <v>268</v>
      </c>
      <c r="C1" t="s">
        <v>132</v>
      </c>
      <c r="E1" t="s">
        <v>269</v>
      </c>
      <c r="F1" t="s">
        <v>132</v>
      </c>
    </row>
    <row r="2" spans="1:6">
      <c r="A2" t="str">
        <f>secToTime(B2)</f>
        <v>1h 0m</v>
      </c>
      <c r="B2">
        <v>3600</v>
      </c>
      <c r="C2">
        <v>20</v>
      </c>
      <c r="E2">
        <v>20000</v>
      </c>
      <c r="F2">
        <v>36</v>
      </c>
    </row>
    <row r="3" spans="1:6">
      <c r="A3" t="str">
        <f t="shared" ref="A3:A15" si="0">secToTime(B3)</f>
        <v>2h 0m</v>
      </c>
      <c r="B3">
        <f>B2*2</f>
        <v>7200</v>
      </c>
      <c r="C3">
        <v>30</v>
      </c>
      <c r="E3">
        <v>50000</v>
      </c>
      <c r="F3">
        <v>69</v>
      </c>
    </row>
    <row r="4" spans="1:6">
      <c r="A4" t="str">
        <f t="shared" si="0"/>
        <v>3h 0m</v>
      </c>
      <c r="B4">
        <f>B2*3</f>
        <v>10800</v>
      </c>
      <c r="C4">
        <v>41</v>
      </c>
      <c r="E4">
        <v>100000</v>
      </c>
      <c r="F4">
        <v>125</v>
      </c>
    </row>
    <row r="5" spans="1:6">
      <c r="A5" t="str">
        <f t="shared" si="0"/>
        <v>4h 0m</v>
      </c>
      <c r="B5">
        <f>B2*4</f>
        <v>14400</v>
      </c>
      <c r="C5">
        <v>51</v>
      </c>
      <c r="E5">
        <v>250000</v>
      </c>
      <c r="F5">
        <v>204</v>
      </c>
    </row>
    <row r="6" spans="1:6">
      <c r="A6" t="str">
        <f t="shared" si="0"/>
        <v>6h 0m</v>
      </c>
      <c r="B6">
        <f>B4*2</f>
        <v>21600</v>
      </c>
      <c r="C6">
        <v>72</v>
      </c>
      <c r="E6">
        <v>500000</v>
      </c>
      <c r="F6">
        <v>336</v>
      </c>
    </row>
    <row r="7" spans="1:6">
      <c r="A7" t="str">
        <f t="shared" si="0"/>
        <v>8h 0m</v>
      </c>
      <c r="B7">
        <f>B5*2</f>
        <v>28800</v>
      </c>
      <c r="C7">
        <v>93</v>
      </c>
      <c r="E7">
        <v>750000</v>
      </c>
      <c r="F7">
        <v>468</v>
      </c>
    </row>
    <row r="8" spans="1:6">
      <c r="A8" t="str">
        <f t="shared" si="0"/>
        <v>12h 0m</v>
      </c>
      <c r="B8">
        <f>B6*2</f>
        <v>43200</v>
      </c>
      <c r="C8">
        <v>135</v>
      </c>
      <c r="E8">
        <v>1000000</v>
      </c>
      <c r="F8">
        <v>600</v>
      </c>
    </row>
    <row r="9" spans="1:6">
      <c r="A9" t="str">
        <f t="shared" si="0"/>
        <v>1d 0h 0m</v>
      </c>
      <c r="B9">
        <f>B8*2</f>
        <v>86400</v>
      </c>
      <c r="C9">
        <v>260</v>
      </c>
      <c r="E9">
        <v>2000000</v>
      </c>
      <c r="F9">
        <v>867</v>
      </c>
    </row>
    <row r="10" spans="1:6">
      <c r="A10" t="str">
        <f t="shared" si="0"/>
        <v>2d 0h 0m</v>
      </c>
      <c r="B10">
        <f>B9*2</f>
        <v>172800</v>
      </c>
      <c r="C10">
        <v>383</v>
      </c>
      <c r="E10">
        <v>3000000</v>
      </c>
      <c r="F10">
        <v>1133</v>
      </c>
    </row>
    <row r="11" spans="1:6">
      <c r="A11" t="str">
        <f t="shared" si="0"/>
        <v>3d 0h 0m</v>
      </c>
      <c r="B11">
        <f>B9*3</f>
        <v>259200</v>
      </c>
      <c r="C11">
        <v>507</v>
      </c>
      <c r="E11">
        <v>5000000</v>
      </c>
      <c r="F11">
        <v>1667</v>
      </c>
    </row>
    <row r="12" spans="1:6">
      <c r="A12" t="str">
        <f t="shared" si="0"/>
        <v>4d 0h 0m</v>
      </c>
      <c r="B12">
        <f>B9*4</f>
        <v>345600</v>
      </c>
      <c r="C12">
        <v>630</v>
      </c>
    </row>
    <row r="13" spans="1:6">
      <c r="A13" t="str">
        <f t="shared" si="0"/>
        <v>5d 0h 0m</v>
      </c>
      <c r="B13">
        <f>B9*5</f>
        <v>432000</v>
      </c>
      <c r="C13">
        <v>753</v>
      </c>
    </row>
    <row r="14" spans="1:6">
      <c r="A14" t="str">
        <f t="shared" si="0"/>
        <v>6d 0h 0m</v>
      </c>
      <c r="B14">
        <f>B9*6</f>
        <v>518400</v>
      </c>
      <c r="C14">
        <v>877</v>
      </c>
    </row>
    <row r="15" spans="1:6">
      <c r="A15" t="str">
        <f t="shared" si="0"/>
        <v>7d 0h 0m</v>
      </c>
      <c r="B15">
        <f>B9*7</f>
        <v>604800</v>
      </c>
      <c r="C15">
        <v>1000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7"/>
  <sheetViews>
    <sheetView workbookViewId="0">
      <selection activeCell="F10" sqref="F10"/>
    </sheetView>
  </sheetViews>
  <sheetFormatPr baseColWidth="10" defaultRowHeight="15" x14ac:dyDescent="0"/>
  <cols>
    <col min="1" max="1" width="16.6640625" customWidth="1"/>
    <col min="2" max="2" width="9.6640625" customWidth="1"/>
    <col min="11" max="12" width="16.6640625" customWidth="1"/>
    <col min="21" max="21" width="13.5" customWidth="1"/>
    <col min="31" max="31" width="14.6640625" customWidth="1"/>
  </cols>
  <sheetData>
    <row r="1" spans="1:31">
      <c r="A1" t="str">
        <f>Numbers!A1</f>
        <v>commandCenter</v>
      </c>
      <c r="C1" t="str">
        <f>Numbers!KG1</f>
        <v>sentryGun</v>
      </c>
      <c r="M1" t="str">
        <f>Numbers!KV1</f>
        <v>machineGun</v>
      </c>
      <c r="W1" t="str">
        <f>Numbers!LK1</f>
        <v>rocketGun</v>
      </c>
    </row>
    <row r="2" spans="1:31">
      <c r="A2" t="str">
        <f>Numbers!A2</f>
        <v>Level</v>
      </c>
      <c r="C2" t="str">
        <f>Numbers!KG2</f>
        <v>Level</v>
      </c>
      <c r="D2" t="str">
        <f>Numbers!KH2</f>
        <v>Has</v>
      </c>
      <c r="E2" t="str">
        <f>Numbers!BD2</f>
        <v>total</v>
      </c>
      <c r="F2" t="s">
        <v>449</v>
      </c>
      <c r="G2" t="s">
        <v>450</v>
      </c>
      <c r="H2" s="68" t="s">
        <v>114</v>
      </c>
      <c r="I2" t="s">
        <v>451</v>
      </c>
      <c r="J2" s="68" t="s">
        <v>114</v>
      </c>
      <c r="K2" t="s">
        <v>452</v>
      </c>
      <c r="M2" t="str">
        <f>Numbers!KV2</f>
        <v>Level</v>
      </c>
      <c r="N2" t="str">
        <f>Numbers!KW2</f>
        <v>Has</v>
      </c>
      <c r="O2" t="str">
        <f>Numbers!BF2</f>
        <v>total</v>
      </c>
      <c r="P2" t="s">
        <v>449</v>
      </c>
      <c r="Q2" t="s">
        <v>450</v>
      </c>
      <c r="R2" s="68" t="s">
        <v>114</v>
      </c>
      <c r="S2" t="s">
        <v>451</v>
      </c>
      <c r="T2" t="s">
        <v>114</v>
      </c>
      <c r="U2" t="s">
        <v>452</v>
      </c>
      <c r="W2" t="str">
        <f>Numbers!LK2</f>
        <v>Level</v>
      </c>
      <c r="X2" t="str">
        <f>Numbers!LL2</f>
        <v>Has</v>
      </c>
      <c r="Y2" t="s">
        <v>449</v>
      </c>
      <c r="Z2" t="str">
        <f>Numbers!BH2</f>
        <v>total</v>
      </c>
      <c r="AA2" t="s">
        <v>450</v>
      </c>
      <c r="AB2" s="68" t="s">
        <v>114</v>
      </c>
      <c r="AC2" t="s">
        <v>451</v>
      </c>
      <c r="AD2" s="68" t="s">
        <v>114</v>
      </c>
      <c r="AE2" t="s">
        <v>453</v>
      </c>
    </row>
    <row r="3" spans="1:31">
      <c r="A3">
        <f>Numbers!A3</f>
        <v>1</v>
      </c>
      <c r="C3">
        <f>Numbers!KG3</f>
        <v>1</v>
      </c>
      <c r="D3">
        <f>Numbers!KH3</f>
        <v>1</v>
      </c>
      <c r="E3">
        <f>Numbers!BD3</f>
        <v>1</v>
      </c>
      <c r="F3">
        <v>12</v>
      </c>
      <c r="G3">
        <v>0.7</v>
      </c>
      <c r="H3">
        <v>1.1000000000000001</v>
      </c>
      <c r="I3">
        <v>1000</v>
      </c>
      <c r="J3">
        <v>1.1000000000000001</v>
      </c>
      <c r="K3">
        <v>50</v>
      </c>
      <c r="M3">
        <f>Numbers!KV3</f>
        <v>0</v>
      </c>
      <c r="N3">
        <f>Numbers!KW3</f>
        <v>0</v>
      </c>
      <c r="O3">
        <f>Numbers!BF3</f>
        <v>0</v>
      </c>
      <c r="P3">
        <v>5</v>
      </c>
      <c r="Q3">
        <v>10</v>
      </c>
      <c r="R3">
        <v>1.2</v>
      </c>
      <c r="S3">
        <f>IF(N3,baseBetterNumbers(R3*I3),0)</f>
        <v>0</v>
      </c>
      <c r="T3">
        <v>0.2</v>
      </c>
      <c r="U3">
        <f>IF(N3,baseBetterNumbers(T3*K3),0)</f>
        <v>0</v>
      </c>
      <c r="W3">
        <f>Numbers!LK3</f>
        <v>0</v>
      </c>
      <c r="X3">
        <f>Numbers!LL3</f>
        <v>0</v>
      </c>
      <c r="Y3">
        <v>10</v>
      </c>
      <c r="Z3">
        <f>Numbers!BH3</f>
        <v>0</v>
      </c>
      <c r="AA3">
        <v>0.4</v>
      </c>
      <c r="AB3">
        <v>2</v>
      </c>
      <c r="AC3">
        <f>IF(X3,baseBetterNumbers(AB3*I3),0)</f>
        <v>0</v>
      </c>
      <c r="AD3">
        <v>4</v>
      </c>
      <c r="AE3">
        <f>IF(X3,baseBetterNumbers(AD3*K3),0)</f>
        <v>0</v>
      </c>
    </row>
    <row r="4" spans="1:31">
      <c r="A4">
        <f>Numbers!A4</f>
        <v>2</v>
      </c>
      <c r="C4">
        <f>Numbers!KG4</f>
        <v>2</v>
      </c>
      <c r="D4">
        <f>Numbers!KH4</f>
        <v>1</v>
      </c>
      <c r="E4">
        <f>Numbers!BD4</f>
        <v>2</v>
      </c>
      <c r="F4">
        <f>F3</f>
        <v>12</v>
      </c>
      <c r="G4">
        <f>G3</f>
        <v>0.7</v>
      </c>
      <c r="H4">
        <f>H3</f>
        <v>1.1000000000000001</v>
      </c>
      <c r="I4">
        <f>IF(D4,baseBetterNumbers(I3*H4),I3)</f>
        <v>1100</v>
      </c>
      <c r="J4">
        <f>J3</f>
        <v>1.1000000000000001</v>
      </c>
      <c r="K4">
        <f>IF(D4,baseBetterNumbers(K3*J4),K3)</f>
        <v>55</v>
      </c>
      <c r="M4">
        <f>Numbers!KV4</f>
        <v>0</v>
      </c>
      <c r="N4">
        <f>Numbers!KW4</f>
        <v>0</v>
      </c>
      <c r="O4">
        <f>Numbers!BF4</f>
        <v>0</v>
      </c>
      <c r="P4">
        <f>P3</f>
        <v>5</v>
      </c>
      <c r="Q4">
        <f>Q3</f>
        <v>10</v>
      </c>
      <c r="R4">
        <f>R3</f>
        <v>1.2</v>
      </c>
      <c r="S4">
        <f>IF(N4,baseBetterNumbers(R4*I4),S3)</f>
        <v>0</v>
      </c>
      <c r="T4">
        <f>T3</f>
        <v>0.2</v>
      </c>
      <c r="U4">
        <f>IF(N4,baseBetterNumbers(T4*K4),U3)</f>
        <v>0</v>
      </c>
      <c r="W4">
        <f>Numbers!LK4</f>
        <v>0</v>
      </c>
      <c r="X4">
        <f>Numbers!LL4</f>
        <v>0</v>
      </c>
      <c r="Y4">
        <f>Y3</f>
        <v>10</v>
      </c>
      <c r="Z4">
        <f>Numbers!BH4</f>
        <v>0</v>
      </c>
      <c r="AA4">
        <f>AA3</f>
        <v>0.4</v>
      </c>
      <c r="AB4">
        <f>AB3</f>
        <v>2</v>
      </c>
      <c r="AC4">
        <f>IF(X4,baseBetterNumbers(AB4*I4),AC3)</f>
        <v>0</v>
      </c>
      <c r="AD4">
        <f>AD3</f>
        <v>4</v>
      </c>
      <c r="AE4">
        <f>IF(X4,baseBetterNumbers(AD4*K4),AE3)</f>
        <v>0</v>
      </c>
    </row>
    <row r="5" spans="1:31">
      <c r="A5">
        <f>Numbers!A5</f>
        <v>3</v>
      </c>
      <c r="C5">
        <f>Numbers!KG5</f>
        <v>3</v>
      </c>
      <c r="D5">
        <f>Numbers!KH5</f>
        <v>1</v>
      </c>
      <c r="E5">
        <f>Numbers!BD5</f>
        <v>2</v>
      </c>
      <c r="F5">
        <f t="shared" ref="F5:F17" si="0">F4</f>
        <v>12</v>
      </c>
      <c r="G5">
        <f t="shared" ref="G5:G17" si="1">G4</f>
        <v>0.7</v>
      </c>
      <c r="H5">
        <f t="shared" ref="H5:H17" si="2">H4</f>
        <v>1.1000000000000001</v>
      </c>
      <c r="I5">
        <f>IF(D5,baseBetterNumbers(I4*H5),I4)</f>
        <v>1210</v>
      </c>
      <c r="J5">
        <f t="shared" ref="J5:J17" si="3">J4</f>
        <v>1.1000000000000001</v>
      </c>
      <c r="K5">
        <f>IF(D5,baseBetterNumbers(K4*J5),K4)</f>
        <v>61</v>
      </c>
      <c r="M5">
        <f>Numbers!KV5</f>
        <v>0</v>
      </c>
      <c r="N5">
        <f>Numbers!KW5</f>
        <v>0</v>
      </c>
      <c r="O5">
        <f>Numbers!BF5</f>
        <v>0</v>
      </c>
      <c r="P5">
        <f t="shared" ref="P5:P17" si="4">P4</f>
        <v>5</v>
      </c>
      <c r="Q5">
        <f t="shared" ref="Q5:Q17" si="5">Q4</f>
        <v>10</v>
      </c>
      <c r="R5">
        <f t="shared" ref="R5:R17" si="6">R4</f>
        <v>1.2</v>
      </c>
      <c r="S5">
        <f>IF(N5,baseBetterNumbers(R5*I5),S4)</f>
        <v>0</v>
      </c>
      <c r="T5">
        <f t="shared" ref="T5:T17" si="7">T4</f>
        <v>0.2</v>
      </c>
      <c r="U5">
        <f>IF(N5,baseBetterNumbers(T5*K5),U4)</f>
        <v>0</v>
      </c>
      <c r="W5">
        <f>Numbers!LK5</f>
        <v>0</v>
      </c>
      <c r="X5">
        <f>Numbers!LL5</f>
        <v>0</v>
      </c>
      <c r="Y5">
        <f t="shared" ref="Y5:Y17" si="8">Y4</f>
        <v>10</v>
      </c>
      <c r="Z5">
        <f>Numbers!BH5</f>
        <v>0</v>
      </c>
      <c r="AA5">
        <f t="shared" ref="AA5:AA17" si="9">AA4</f>
        <v>0.4</v>
      </c>
      <c r="AB5">
        <f t="shared" ref="AB5:AB17" si="10">AB4</f>
        <v>2</v>
      </c>
      <c r="AC5">
        <f>IF(X5,baseBetterNumbers(AB5*I5),AC4)</f>
        <v>0</v>
      </c>
      <c r="AD5">
        <f t="shared" ref="AD5:AD17" si="11">AD4</f>
        <v>4</v>
      </c>
      <c r="AE5">
        <f>IF(X5,baseBetterNumbers(AD5*K5),AE4)</f>
        <v>0</v>
      </c>
    </row>
    <row r="6" spans="1:31">
      <c r="A6">
        <f>Numbers!A6</f>
        <v>4</v>
      </c>
      <c r="C6">
        <f>Numbers!KG6</f>
        <v>4</v>
      </c>
      <c r="D6">
        <f>Numbers!KH6</f>
        <v>1</v>
      </c>
      <c r="E6">
        <f>Numbers!BD6</f>
        <v>3</v>
      </c>
      <c r="F6">
        <f t="shared" si="0"/>
        <v>12</v>
      </c>
      <c r="G6">
        <f t="shared" si="1"/>
        <v>0.7</v>
      </c>
      <c r="H6">
        <f t="shared" si="2"/>
        <v>1.1000000000000001</v>
      </c>
      <c r="I6">
        <f>IF(D6,baseBetterNumbers(I5*H6),I5)</f>
        <v>1330</v>
      </c>
      <c r="J6">
        <f t="shared" si="3"/>
        <v>1.1000000000000001</v>
      </c>
      <c r="K6">
        <f>IF(D6,baseBetterNumbers(K5*J6),K5)</f>
        <v>67</v>
      </c>
      <c r="M6">
        <f>Numbers!KV6</f>
        <v>0</v>
      </c>
      <c r="N6">
        <f>Numbers!KW6</f>
        <v>0</v>
      </c>
      <c r="O6">
        <f>Numbers!BF6</f>
        <v>0</v>
      </c>
      <c r="P6">
        <f t="shared" si="4"/>
        <v>5</v>
      </c>
      <c r="Q6">
        <f t="shared" si="5"/>
        <v>10</v>
      </c>
      <c r="R6">
        <f t="shared" si="6"/>
        <v>1.2</v>
      </c>
      <c r="S6">
        <f>IF(N6,baseBetterNumbers(R6*I6),S5)</f>
        <v>0</v>
      </c>
      <c r="T6">
        <f t="shared" si="7"/>
        <v>0.2</v>
      </c>
      <c r="U6">
        <f>IF(N6,baseBetterNumbers(T6*K6),U5)</f>
        <v>0</v>
      </c>
      <c r="W6">
        <f>Numbers!LK6</f>
        <v>0</v>
      </c>
      <c r="X6">
        <f>Numbers!LL6</f>
        <v>0</v>
      </c>
      <c r="Y6">
        <f t="shared" si="8"/>
        <v>10</v>
      </c>
      <c r="Z6">
        <f>Numbers!BH6</f>
        <v>0</v>
      </c>
      <c r="AA6">
        <f t="shared" si="9"/>
        <v>0.4</v>
      </c>
      <c r="AB6">
        <f t="shared" si="10"/>
        <v>2</v>
      </c>
      <c r="AC6">
        <f>IF(X6,baseBetterNumbers(AB6*I6),AC5)</f>
        <v>0</v>
      </c>
      <c r="AD6">
        <f t="shared" si="11"/>
        <v>4</v>
      </c>
      <c r="AE6">
        <f>IF(X6,baseBetterNumbers(AD6*K6),AE5)</f>
        <v>0</v>
      </c>
    </row>
    <row r="7" spans="1:31">
      <c r="A7">
        <f>Numbers!A7</f>
        <v>5</v>
      </c>
      <c r="C7">
        <f>Numbers!KG7</f>
        <v>5</v>
      </c>
      <c r="D7">
        <f>Numbers!KH7</f>
        <v>1</v>
      </c>
      <c r="E7">
        <f>Numbers!BD7</f>
        <v>3</v>
      </c>
      <c r="F7">
        <f t="shared" si="0"/>
        <v>12</v>
      </c>
      <c r="G7">
        <f t="shared" si="1"/>
        <v>0.7</v>
      </c>
      <c r="H7">
        <f t="shared" si="2"/>
        <v>1.1000000000000001</v>
      </c>
      <c r="I7">
        <f>IF(D7,baseBetterNumbers(I6*H7),I6)</f>
        <v>1460</v>
      </c>
      <c r="J7">
        <f t="shared" si="3"/>
        <v>1.1000000000000001</v>
      </c>
      <c r="K7">
        <f>IF(D7,baseBetterNumbers(K6*J7),K6)</f>
        <v>74</v>
      </c>
      <c r="M7">
        <f>Numbers!KV7</f>
        <v>0</v>
      </c>
      <c r="N7">
        <f>Numbers!KW7</f>
        <v>0</v>
      </c>
      <c r="O7">
        <f>Numbers!BF7</f>
        <v>0</v>
      </c>
      <c r="P7">
        <f t="shared" si="4"/>
        <v>5</v>
      </c>
      <c r="Q7">
        <f t="shared" si="5"/>
        <v>10</v>
      </c>
      <c r="R7">
        <f t="shared" si="6"/>
        <v>1.2</v>
      </c>
      <c r="S7">
        <f>IF(N7,baseBetterNumbers(R7*I7),S6)</f>
        <v>0</v>
      </c>
      <c r="T7">
        <f t="shared" si="7"/>
        <v>0.2</v>
      </c>
      <c r="U7">
        <f>IF(N7,baseBetterNumbers(T7*K7),U6)</f>
        <v>0</v>
      </c>
      <c r="W7">
        <f>Numbers!LK7</f>
        <v>0</v>
      </c>
      <c r="X7">
        <f>Numbers!LL7</f>
        <v>0</v>
      </c>
      <c r="Y7">
        <f t="shared" si="8"/>
        <v>10</v>
      </c>
      <c r="Z7">
        <f>Numbers!BH7</f>
        <v>0</v>
      </c>
      <c r="AA7">
        <f t="shared" si="9"/>
        <v>0.4</v>
      </c>
      <c r="AB7">
        <f t="shared" si="10"/>
        <v>2</v>
      </c>
      <c r="AC7">
        <f>IF(X7,baseBetterNumbers(AB7*I7),AC6)</f>
        <v>0</v>
      </c>
      <c r="AD7">
        <f t="shared" si="11"/>
        <v>4</v>
      </c>
      <c r="AE7">
        <f>IF(X7,baseBetterNumbers(AD7*K7),AE6)</f>
        <v>0</v>
      </c>
    </row>
    <row r="8" spans="1:31">
      <c r="A8">
        <f>Numbers!A8</f>
        <v>6</v>
      </c>
      <c r="C8">
        <f>Numbers!KG8</f>
        <v>6</v>
      </c>
      <c r="D8">
        <f>Numbers!KH8</f>
        <v>1</v>
      </c>
      <c r="E8">
        <f>Numbers!BD8</f>
        <v>4</v>
      </c>
      <c r="F8">
        <f t="shared" si="0"/>
        <v>12</v>
      </c>
      <c r="G8">
        <f t="shared" si="1"/>
        <v>0.7</v>
      </c>
      <c r="H8">
        <f t="shared" si="2"/>
        <v>1.1000000000000001</v>
      </c>
      <c r="I8">
        <f>IF(D8,baseBetterNumbers(I7*H8),I7)</f>
        <v>1610</v>
      </c>
      <c r="J8">
        <f t="shared" si="3"/>
        <v>1.1000000000000001</v>
      </c>
      <c r="K8">
        <f>IF(D8,baseBetterNumbers(K7*J8),K7)</f>
        <v>81</v>
      </c>
      <c r="M8">
        <f>Numbers!KV8</f>
        <v>0</v>
      </c>
      <c r="N8">
        <f>Numbers!KW8</f>
        <v>0</v>
      </c>
      <c r="O8">
        <f>Numbers!BF8</f>
        <v>0</v>
      </c>
      <c r="P8">
        <f t="shared" si="4"/>
        <v>5</v>
      </c>
      <c r="Q8">
        <f t="shared" si="5"/>
        <v>10</v>
      </c>
      <c r="R8">
        <f t="shared" si="6"/>
        <v>1.2</v>
      </c>
      <c r="S8">
        <f>IF(N8,baseBetterNumbers(R8*I8),S7)</f>
        <v>0</v>
      </c>
      <c r="T8">
        <f t="shared" si="7"/>
        <v>0.2</v>
      </c>
      <c r="U8">
        <f>IF(N8,baseBetterNumbers(T8*K8),U7)</f>
        <v>0</v>
      </c>
      <c r="W8">
        <f>Numbers!LK8</f>
        <v>0</v>
      </c>
      <c r="X8">
        <f>Numbers!LL8</f>
        <v>0</v>
      </c>
      <c r="Y8">
        <f t="shared" si="8"/>
        <v>10</v>
      </c>
      <c r="Z8">
        <f>Numbers!BH8</f>
        <v>0</v>
      </c>
      <c r="AA8">
        <f t="shared" si="9"/>
        <v>0.4</v>
      </c>
      <c r="AB8">
        <f t="shared" si="10"/>
        <v>2</v>
      </c>
      <c r="AC8">
        <f>IF(X8,baseBetterNumbers(AB8*I8),AC7)</f>
        <v>0</v>
      </c>
      <c r="AD8">
        <f t="shared" si="11"/>
        <v>4</v>
      </c>
      <c r="AE8">
        <f>IF(X8,baseBetterNumbers(AD8*K8),AE7)</f>
        <v>0</v>
      </c>
    </row>
    <row r="9" spans="1:31">
      <c r="A9">
        <f>Numbers!A9</f>
        <v>7</v>
      </c>
      <c r="C9">
        <f>Numbers!KG9</f>
        <v>7</v>
      </c>
      <c r="D9">
        <f>Numbers!KH9</f>
        <v>1</v>
      </c>
      <c r="E9">
        <f>Numbers!BD9</f>
        <v>4</v>
      </c>
      <c r="F9">
        <f t="shared" si="0"/>
        <v>12</v>
      </c>
      <c r="G9">
        <f t="shared" si="1"/>
        <v>0.7</v>
      </c>
      <c r="H9">
        <f t="shared" si="2"/>
        <v>1.1000000000000001</v>
      </c>
      <c r="I9">
        <f>IF(D9,baseBetterNumbers(I8*H9),I8)</f>
        <v>1770</v>
      </c>
      <c r="J9">
        <f t="shared" si="3"/>
        <v>1.1000000000000001</v>
      </c>
      <c r="K9">
        <f>IF(D9,baseBetterNumbers(K8*J9),K8)</f>
        <v>89</v>
      </c>
      <c r="M9">
        <f>Numbers!KV9</f>
        <v>0</v>
      </c>
      <c r="N9">
        <f>Numbers!KW9</f>
        <v>0</v>
      </c>
      <c r="O9">
        <f>Numbers!BF9</f>
        <v>0</v>
      </c>
      <c r="P9">
        <f t="shared" si="4"/>
        <v>5</v>
      </c>
      <c r="Q9">
        <f t="shared" si="5"/>
        <v>10</v>
      </c>
      <c r="R9">
        <f t="shared" si="6"/>
        <v>1.2</v>
      </c>
      <c r="S9">
        <f>IF(N9,baseBetterNumbers(R9*I9),S8)</f>
        <v>0</v>
      </c>
      <c r="T9">
        <f t="shared" si="7"/>
        <v>0.2</v>
      </c>
      <c r="U9">
        <f>IF(N9,baseBetterNumbers(T9*K9),U8)</f>
        <v>0</v>
      </c>
      <c r="W9">
        <f>Numbers!LK9</f>
        <v>0</v>
      </c>
      <c r="X9">
        <f>Numbers!LL9</f>
        <v>0</v>
      </c>
      <c r="Y9">
        <f t="shared" si="8"/>
        <v>10</v>
      </c>
      <c r="Z9">
        <f>Numbers!BH9</f>
        <v>0</v>
      </c>
      <c r="AA9">
        <f t="shared" si="9"/>
        <v>0.4</v>
      </c>
      <c r="AB9">
        <f t="shared" si="10"/>
        <v>2</v>
      </c>
      <c r="AC9">
        <f>IF(X9,baseBetterNumbers(AB9*I9),AC8)</f>
        <v>0</v>
      </c>
      <c r="AD9">
        <f t="shared" si="11"/>
        <v>4</v>
      </c>
      <c r="AE9">
        <f>IF(X9,baseBetterNumbers(AD9*K9),AE8)</f>
        <v>0</v>
      </c>
    </row>
    <row r="10" spans="1:31">
      <c r="A10">
        <f>Numbers!A10</f>
        <v>8</v>
      </c>
      <c r="C10">
        <f>Numbers!KG10</f>
        <v>8</v>
      </c>
      <c r="D10">
        <f>Numbers!KH10</f>
        <v>1</v>
      </c>
      <c r="E10">
        <f>Numbers!BD10</f>
        <v>4</v>
      </c>
      <c r="F10">
        <f t="shared" si="0"/>
        <v>12</v>
      </c>
      <c r="G10">
        <f t="shared" si="1"/>
        <v>0.7</v>
      </c>
      <c r="H10">
        <f t="shared" si="2"/>
        <v>1.1000000000000001</v>
      </c>
      <c r="I10">
        <f>IF(D10,baseBetterNumbers(I9*H10),I9)</f>
        <v>1950</v>
      </c>
      <c r="J10">
        <f t="shared" si="3"/>
        <v>1.1000000000000001</v>
      </c>
      <c r="K10">
        <f>IF(D10,baseBetterNumbers(K9*J10),K9)</f>
        <v>98</v>
      </c>
      <c r="M10">
        <f>Numbers!KV10</f>
        <v>1</v>
      </c>
      <c r="N10">
        <f>Numbers!KW10</f>
        <v>1</v>
      </c>
      <c r="O10">
        <f>Numbers!BF10</f>
        <v>1</v>
      </c>
      <c r="P10">
        <f t="shared" si="4"/>
        <v>5</v>
      </c>
      <c r="Q10">
        <f t="shared" si="5"/>
        <v>10</v>
      </c>
      <c r="R10">
        <f t="shared" si="6"/>
        <v>1.2</v>
      </c>
      <c r="S10">
        <f>IF(N10,baseBetterNumbers(R10*I10),S9)</f>
        <v>2340</v>
      </c>
      <c r="T10">
        <f t="shared" si="7"/>
        <v>0.2</v>
      </c>
      <c r="U10">
        <f>IF(N10,baseBetterNumbers(T10*K10),U9)</f>
        <v>20</v>
      </c>
      <c r="W10">
        <f>Numbers!LK10</f>
        <v>0</v>
      </c>
      <c r="X10">
        <f>Numbers!LL10</f>
        <v>0</v>
      </c>
      <c r="Y10">
        <f t="shared" si="8"/>
        <v>10</v>
      </c>
      <c r="Z10">
        <f>Numbers!BH10</f>
        <v>0</v>
      </c>
      <c r="AA10">
        <f t="shared" si="9"/>
        <v>0.4</v>
      </c>
      <c r="AB10">
        <f t="shared" si="10"/>
        <v>2</v>
      </c>
      <c r="AC10">
        <f>IF(X10,baseBetterNumbers(AB10*I10),AC9)</f>
        <v>0</v>
      </c>
      <c r="AD10">
        <f t="shared" si="11"/>
        <v>4</v>
      </c>
      <c r="AE10">
        <f>IF(X10,baseBetterNumbers(AD10*K10),AE9)</f>
        <v>0</v>
      </c>
    </row>
    <row r="11" spans="1:31">
      <c r="A11">
        <f>Numbers!A11</f>
        <v>9</v>
      </c>
      <c r="C11">
        <f>Numbers!KG11</f>
        <v>9</v>
      </c>
      <c r="D11">
        <f>Numbers!KH11</f>
        <v>1</v>
      </c>
      <c r="E11">
        <f>Numbers!BD11</f>
        <v>4</v>
      </c>
      <c r="F11">
        <f t="shared" si="0"/>
        <v>12</v>
      </c>
      <c r="G11">
        <f t="shared" si="1"/>
        <v>0.7</v>
      </c>
      <c r="H11">
        <f t="shared" si="2"/>
        <v>1.1000000000000001</v>
      </c>
      <c r="I11">
        <f>IF(D11,baseBetterNumbers(I10*H11),I10)</f>
        <v>2140</v>
      </c>
      <c r="J11">
        <f t="shared" si="3"/>
        <v>1.1000000000000001</v>
      </c>
      <c r="K11">
        <f>IF(D11,baseBetterNumbers(K10*J11),K10)</f>
        <v>108</v>
      </c>
      <c r="M11">
        <f>Numbers!KV11</f>
        <v>2</v>
      </c>
      <c r="N11">
        <f>Numbers!KW11</f>
        <v>1</v>
      </c>
      <c r="O11">
        <f>Numbers!BF11</f>
        <v>1</v>
      </c>
      <c r="P11">
        <f t="shared" si="4"/>
        <v>5</v>
      </c>
      <c r="Q11">
        <f t="shared" si="5"/>
        <v>10</v>
      </c>
      <c r="R11">
        <f t="shared" si="6"/>
        <v>1.2</v>
      </c>
      <c r="S11">
        <f>IF(N11,baseBetterNumbers(R11*I11),S10)</f>
        <v>2570</v>
      </c>
      <c r="T11">
        <f t="shared" si="7"/>
        <v>0.2</v>
      </c>
      <c r="U11">
        <f>IF(N11,baseBetterNumbers(T11*K11),U10)</f>
        <v>22</v>
      </c>
      <c r="W11">
        <f>Numbers!LK11</f>
        <v>0</v>
      </c>
      <c r="X11">
        <f>Numbers!LL11</f>
        <v>0</v>
      </c>
      <c r="Y11">
        <f t="shared" si="8"/>
        <v>10</v>
      </c>
      <c r="Z11">
        <f>Numbers!BH11</f>
        <v>0</v>
      </c>
      <c r="AA11">
        <f t="shared" si="9"/>
        <v>0.4</v>
      </c>
      <c r="AB11">
        <f t="shared" si="10"/>
        <v>2</v>
      </c>
      <c r="AC11">
        <f>IF(X11,baseBetterNumbers(AB11*I11),AC10)</f>
        <v>0</v>
      </c>
      <c r="AD11">
        <f t="shared" si="11"/>
        <v>4</v>
      </c>
      <c r="AE11">
        <f>IF(X11,baseBetterNumbers(AD11*K11),AE10)</f>
        <v>0</v>
      </c>
    </row>
    <row r="12" spans="1:31">
      <c r="A12">
        <f>Numbers!A12</f>
        <v>10</v>
      </c>
      <c r="C12">
        <f>Numbers!KG12</f>
        <v>10</v>
      </c>
      <c r="D12">
        <f>Numbers!KH12</f>
        <v>1</v>
      </c>
      <c r="E12">
        <f>Numbers!BD12</f>
        <v>4</v>
      </c>
      <c r="F12">
        <f t="shared" si="0"/>
        <v>12</v>
      </c>
      <c r="G12">
        <f t="shared" si="1"/>
        <v>0.7</v>
      </c>
      <c r="H12">
        <f t="shared" si="2"/>
        <v>1.1000000000000001</v>
      </c>
      <c r="I12">
        <f>IF(D12,baseBetterNumbers(I11*H12),I11)</f>
        <v>2350</v>
      </c>
      <c r="J12">
        <f t="shared" si="3"/>
        <v>1.1000000000000001</v>
      </c>
      <c r="K12">
        <f>IF(D12,baseBetterNumbers(K11*J12),K11)</f>
        <v>119</v>
      </c>
      <c r="M12">
        <f>Numbers!KV12</f>
        <v>3</v>
      </c>
      <c r="N12">
        <f>Numbers!KW12</f>
        <v>1</v>
      </c>
      <c r="O12">
        <f>Numbers!BF12</f>
        <v>2</v>
      </c>
      <c r="P12">
        <f t="shared" si="4"/>
        <v>5</v>
      </c>
      <c r="Q12">
        <f t="shared" si="5"/>
        <v>10</v>
      </c>
      <c r="R12">
        <f t="shared" si="6"/>
        <v>1.2</v>
      </c>
      <c r="S12">
        <f>IF(N12,baseBetterNumbers(R12*I12),S11)</f>
        <v>2820</v>
      </c>
      <c r="T12">
        <f t="shared" si="7"/>
        <v>0.2</v>
      </c>
      <c r="U12">
        <f>IF(N12,baseBetterNumbers(T12*K12),U11)</f>
        <v>24</v>
      </c>
      <c r="W12">
        <f>Numbers!LK12</f>
        <v>0</v>
      </c>
      <c r="X12">
        <f>Numbers!LL12</f>
        <v>0</v>
      </c>
      <c r="Y12">
        <f t="shared" si="8"/>
        <v>10</v>
      </c>
      <c r="Z12">
        <f>Numbers!BH12</f>
        <v>0</v>
      </c>
      <c r="AA12">
        <f t="shared" si="9"/>
        <v>0.4</v>
      </c>
      <c r="AB12">
        <f t="shared" si="10"/>
        <v>2</v>
      </c>
      <c r="AC12">
        <f>IF(X12,baseBetterNumbers(AB12*I12),AC11)</f>
        <v>0</v>
      </c>
      <c r="AD12">
        <f t="shared" si="11"/>
        <v>4</v>
      </c>
      <c r="AE12">
        <f>IF(X12,baseBetterNumbers(AD12*K12),AE11)</f>
        <v>0</v>
      </c>
    </row>
    <row r="13" spans="1:31">
      <c r="A13">
        <f>Numbers!A13</f>
        <v>11</v>
      </c>
      <c r="C13">
        <f>Numbers!KG13</f>
        <v>11</v>
      </c>
      <c r="D13">
        <f>Numbers!KH13</f>
        <v>1</v>
      </c>
      <c r="E13">
        <f>Numbers!BD13</f>
        <v>4</v>
      </c>
      <c r="F13">
        <f t="shared" si="0"/>
        <v>12</v>
      </c>
      <c r="G13">
        <f t="shared" si="1"/>
        <v>0.7</v>
      </c>
      <c r="H13">
        <f t="shared" si="2"/>
        <v>1.1000000000000001</v>
      </c>
      <c r="I13">
        <f>IF(D13,baseBetterNumbers(I12*H13),I12)</f>
        <v>2580</v>
      </c>
      <c r="J13">
        <f t="shared" si="3"/>
        <v>1.1000000000000001</v>
      </c>
      <c r="K13">
        <f>IF(D13,baseBetterNumbers(K12*J13),K12)</f>
        <v>131</v>
      </c>
      <c r="M13">
        <f>Numbers!KV13</f>
        <v>4</v>
      </c>
      <c r="N13">
        <f>Numbers!KW13</f>
        <v>1</v>
      </c>
      <c r="O13">
        <f>Numbers!BF13</f>
        <v>2</v>
      </c>
      <c r="P13">
        <f t="shared" si="4"/>
        <v>5</v>
      </c>
      <c r="Q13">
        <f t="shared" si="5"/>
        <v>10</v>
      </c>
      <c r="R13">
        <f t="shared" si="6"/>
        <v>1.2</v>
      </c>
      <c r="S13">
        <f>IF(N13,baseBetterNumbers(R13*I13),S12)</f>
        <v>3100</v>
      </c>
      <c r="T13">
        <f t="shared" si="7"/>
        <v>0.2</v>
      </c>
      <c r="U13">
        <f>IF(N13,baseBetterNumbers(T13*K13),U12)</f>
        <v>26</v>
      </c>
      <c r="W13">
        <f>Numbers!LK13</f>
        <v>0</v>
      </c>
      <c r="X13">
        <f>Numbers!LL13</f>
        <v>0</v>
      </c>
      <c r="Y13">
        <f t="shared" si="8"/>
        <v>10</v>
      </c>
      <c r="Z13">
        <f>Numbers!BH13</f>
        <v>0</v>
      </c>
      <c r="AA13">
        <f t="shared" si="9"/>
        <v>0.4</v>
      </c>
      <c r="AB13">
        <f t="shared" si="10"/>
        <v>2</v>
      </c>
      <c r="AC13">
        <f>IF(X13,baseBetterNumbers(AB13*I13),AC12)</f>
        <v>0</v>
      </c>
      <c r="AD13">
        <f t="shared" si="11"/>
        <v>4</v>
      </c>
      <c r="AE13">
        <f>IF(X13,baseBetterNumbers(AD13*K13),AE12)</f>
        <v>0</v>
      </c>
    </row>
    <row r="14" spans="1:31">
      <c r="A14">
        <f>Numbers!A14</f>
        <v>12</v>
      </c>
      <c r="C14">
        <f>Numbers!KG14</f>
        <v>12</v>
      </c>
      <c r="D14">
        <f>Numbers!KH14</f>
        <v>1</v>
      </c>
      <c r="E14">
        <f>Numbers!BD14</f>
        <v>4</v>
      </c>
      <c r="F14">
        <f t="shared" si="0"/>
        <v>12</v>
      </c>
      <c r="G14">
        <f t="shared" si="1"/>
        <v>0.7</v>
      </c>
      <c r="H14">
        <f t="shared" si="2"/>
        <v>1.1000000000000001</v>
      </c>
      <c r="I14">
        <f>IF(D14,baseBetterNumbers(I13*H14),I13)</f>
        <v>2840</v>
      </c>
      <c r="J14">
        <f t="shared" si="3"/>
        <v>1.1000000000000001</v>
      </c>
      <c r="K14">
        <f>IF(D14,baseBetterNumbers(K13*J14),K13)</f>
        <v>144</v>
      </c>
      <c r="M14">
        <f>Numbers!KV14</f>
        <v>5</v>
      </c>
      <c r="N14">
        <f>Numbers!KW14</f>
        <v>1</v>
      </c>
      <c r="O14">
        <f>Numbers!BF14</f>
        <v>2</v>
      </c>
      <c r="P14">
        <f t="shared" si="4"/>
        <v>5</v>
      </c>
      <c r="Q14">
        <f t="shared" si="5"/>
        <v>10</v>
      </c>
      <c r="R14">
        <f t="shared" si="6"/>
        <v>1.2</v>
      </c>
      <c r="S14">
        <f>IF(N14,baseBetterNumbers(R14*I14),S13)</f>
        <v>3410</v>
      </c>
      <c r="T14">
        <f t="shared" si="7"/>
        <v>0.2</v>
      </c>
      <c r="U14">
        <f>IF(N14,baseBetterNumbers(T14*K14),U13)</f>
        <v>29</v>
      </c>
      <c r="W14">
        <f>Numbers!LK14</f>
        <v>0</v>
      </c>
      <c r="X14">
        <f>Numbers!LL14</f>
        <v>0</v>
      </c>
      <c r="Y14">
        <f t="shared" si="8"/>
        <v>10</v>
      </c>
      <c r="Z14">
        <f>Numbers!BH14</f>
        <v>0</v>
      </c>
      <c r="AA14">
        <f t="shared" si="9"/>
        <v>0.4</v>
      </c>
      <c r="AB14">
        <f t="shared" si="10"/>
        <v>2</v>
      </c>
      <c r="AC14">
        <f>IF(X14,baseBetterNumbers(AB14*I14),AC13)</f>
        <v>0</v>
      </c>
      <c r="AD14">
        <f t="shared" si="11"/>
        <v>4</v>
      </c>
      <c r="AE14">
        <f>IF(X14,baseBetterNumbers(AD14*K14),AE13)</f>
        <v>0</v>
      </c>
    </row>
    <row r="15" spans="1:31">
      <c r="A15">
        <f>Numbers!A15</f>
        <v>13</v>
      </c>
      <c r="C15">
        <f>Numbers!KG15</f>
        <v>13</v>
      </c>
      <c r="D15">
        <f>Numbers!KH15</f>
        <v>1</v>
      </c>
      <c r="E15">
        <f>Numbers!BD15</f>
        <v>4</v>
      </c>
      <c r="F15">
        <f t="shared" si="0"/>
        <v>12</v>
      </c>
      <c r="G15">
        <f t="shared" si="1"/>
        <v>0.7</v>
      </c>
      <c r="H15">
        <f t="shared" si="2"/>
        <v>1.1000000000000001</v>
      </c>
      <c r="I15">
        <f>IF(D15,baseBetterNumbers(I14*H15),I14)</f>
        <v>3120</v>
      </c>
      <c r="J15">
        <f t="shared" si="3"/>
        <v>1.1000000000000001</v>
      </c>
      <c r="K15">
        <f>IF(D15,baseBetterNumbers(K14*J15),K14)</f>
        <v>158</v>
      </c>
      <c r="M15">
        <f>Numbers!KV15</f>
        <v>6</v>
      </c>
      <c r="N15">
        <f>Numbers!KW15</f>
        <v>1</v>
      </c>
      <c r="O15">
        <f>Numbers!BF15</f>
        <v>2</v>
      </c>
      <c r="P15">
        <f t="shared" si="4"/>
        <v>5</v>
      </c>
      <c r="Q15">
        <f t="shared" si="5"/>
        <v>10</v>
      </c>
      <c r="R15">
        <f t="shared" si="6"/>
        <v>1.2</v>
      </c>
      <c r="S15">
        <f>IF(N15,baseBetterNumbers(R15*I15),S14)</f>
        <v>3740</v>
      </c>
      <c r="T15">
        <f t="shared" si="7"/>
        <v>0.2</v>
      </c>
      <c r="U15">
        <f>IF(N15,baseBetterNumbers(T15*K15),U14)</f>
        <v>32</v>
      </c>
      <c r="W15">
        <f>Numbers!LK15</f>
        <v>0</v>
      </c>
      <c r="X15">
        <f>Numbers!LL15</f>
        <v>0</v>
      </c>
      <c r="Y15">
        <f t="shared" si="8"/>
        <v>10</v>
      </c>
      <c r="Z15">
        <f>Numbers!BH15</f>
        <v>0</v>
      </c>
      <c r="AA15">
        <f t="shared" si="9"/>
        <v>0.4</v>
      </c>
      <c r="AB15">
        <f t="shared" si="10"/>
        <v>2</v>
      </c>
      <c r="AC15">
        <f>IF(X15,baseBetterNumbers(AB15*I15),AC14)</f>
        <v>0</v>
      </c>
      <c r="AD15">
        <f t="shared" si="11"/>
        <v>4</v>
      </c>
      <c r="AE15">
        <f>IF(X15,baseBetterNumbers(AD15*K15),AE14)</f>
        <v>0</v>
      </c>
    </row>
    <row r="16" spans="1:31">
      <c r="A16">
        <f>Numbers!A16</f>
        <v>14</v>
      </c>
      <c r="C16">
        <f>Numbers!KG16</f>
        <v>14</v>
      </c>
      <c r="D16">
        <f>Numbers!KH16</f>
        <v>1</v>
      </c>
      <c r="E16">
        <f>Numbers!BD16</f>
        <v>4</v>
      </c>
      <c r="F16">
        <f t="shared" si="0"/>
        <v>12</v>
      </c>
      <c r="G16">
        <f t="shared" si="1"/>
        <v>0.7</v>
      </c>
      <c r="H16">
        <f t="shared" si="2"/>
        <v>1.1000000000000001</v>
      </c>
      <c r="I16">
        <f>IF(D16,baseBetterNumbers(I15*H16),I15)</f>
        <v>3430</v>
      </c>
      <c r="J16">
        <f t="shared" si="3"/>
        <v>1.1000000000000001</v>
      </c>
      <c r="K16">
        <f>IF(D16,baseBetterNumbers(K15*J16),K15)</f>
        <v>174</v>
      </c>
      <c r="M16">
        <f>Numbers!KV16</f>
        <v>7</v>
      </c>
      <c r="N16">
        <f>Numbers!KW16</f>
        <v>1</v>
      </c>
      <c r="O16">
        <f>Numbers!BF16</f>
        <v>2</v>
      </c>
      <c r="P16">
        <f t="shared" si="4"/>
        <v>5</v>
      </c>
      <c r="Q16">
        <f t="shared" si="5"/>
        <v>10</v>
      </c>
      <c r="R16">
        <f t="shared" si="6"/>
        <v>1.2</v>
      </c>
      <c r="S16">
        <f>IF(N16,baseBetterNumbers(R16*I16),S15)</f>
        <v>4120</v>
      </c>
      <c r="T16">
        <f t="shared" si="7"/>
        <v>0.2</v>
      </c>
      <c r="U16">
        <f>IF(N16,baseBetterNumbers(T16*K16),U15)</f>
        <v>35</v>
      </c>
      <c r="W16">
        <f>Numbers!LK16</f>
        <v>1</v>
      </c>
      <c r="X16">
        <f>Numbers!LL16</f>
        <v>1</v>
      </c>
      <c r="Y16">
        <f t="shared" si="8"/>
        <v>10</v>
      </c>
      <c r="Z16">
        <f>Numbers!BH16</f>
        <v>1</v>
      </c>
      <c r="AA16">
        <f t="shared" si="9"/>
        <v>0.4</v>
      </c>
      <c r="AB16">
        <f t="shared" si="10"/>
        <v>2</v>
      </c>
      <c r="AC16">
        <f>IF(X16,baseBetterNumbers(AB16*I16),AC15)</f>
        <v>6860</v>
      </c>
      <c r="AD16">
        <f t="shared" si="11"/>
        <v>4</v>
      </c>
      <c r="AE16">
        <f>IF(X16,baseBetterNumbers(AD16*K16),AE15)</f>
        <v>696</v>
      </c>
    </row>
    <row r="17" spans="1:31">
      <c r="A17">
        <f>Numbers!A17</f>
        <v>15</v>
      </c>
      <c r="C17">
        <f>Numbers!KG17</f>
        <v>15</v>
      </c>
      <c r="D17">
        <f>Numbers!KH17</f>
        <v>1</v>
      </c>
      <c r="E17">
        <f>Numbers!BD17</f>
        <v>4</v>
      </c>
      <c r="F17">
        <f t="shared" si="0"/>
        <v>12</v>
      </c>
      <c r="G17">
        <f t="shared" si="1"/>
        <v>0.7</v>
      </c>
      <c r="H17">
        <f t="shared" si="2"/>
        <v>1.1000000000000001</v>
      </c>
      <c r="I17">
        <f>IF(D17,baseBetterNumbers(I16*H17),I16)</f>
        <v>3770</v>
      </c>
      <c r="J17">
        <f t="shared" si="3"/>
        <v>1.1000000000000001</v>
      </c>
      <c r="K17">
        <f>IF(D17,baseBetterNumbers(K16*J17),K16)</f>
        <v>191</v>
      </c>
      <c r="M17">
        <f>Numbers!KV17</f>
        <v>8</v>
      </c>
      <c r="N17">
        <f>Numbers!KW17</f>
        <v>1</v>
      </c>
      <c r="O17">
        <f>Numbers!BF17</f>
        <v>2</v>
      </c>
      <c r="P17">
        <f t="shared" si="4"/>
        <v>5</v>
      </c>
      <c r="Q17">
        <f t="shared" si="5"/>
        <v>10</v>
      </c>
      <c r="R17">
        <f t="shared" si="6"/>
        <v>1.2</v>
      </c>
      <c r="S17">
        <f>IF(N17,baseBetterNumbers(R17*I17),S16)</f>
        <v>4520</v>
      </c>
      <c r="T17">
        <f t="shared" si="7"/>
        <v>0.2</v>
      </c>
      <c r="U17">
        <f>IF(N17,baseBetterNumbers(T17*K17),U16)</f>
        <v>38</v>
      </c>
      <c r="W17">
        <f>Numbers!LK17</f>
        <v>2</v>
      </c>
      <c r="X17">
        <f>Numbers!LL17</f>
        <v>1</v>
      </c>
      <c r="Y17">
        <f t="shared" si="8"/>
        <v>10</v>
      </c>
      <c r="Z17">
        <f>Numbers!BH17</f>
        <v>1</v>
      </c>
      <c r="AA17">
        <f t="shared" si="9"/>
        <v>0.4</v>
      </c>
      <c r="AB17">
        <f t="shared" si="10"/>
        <v>2</v>
      </c>
      <c r="AC17">
        <f>IF(X17,baseBetterNumbers(AB17*I17),AC16)</f>
        <v>7540</v>
      </c>
      <c r="AD17">
        <f t="shared" si="11"/>
        <v>4</v>
      </c>
      <c r="AE17">
        <f>IF(X17,baseBetterNumbers(AD17*K17),AE16)</f>
        <v>764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N29"/>
  <sheetViews>
    <sheetView tabSelected="1" topLeftCell="AA1" workbookViewId="0">
      <selection activeCell="AN2" sqref="AN2"/>
    </sheetView>
  </sheetViews>
  <sheetFormatPr baseColWidth="10" defaultRowHeight="15" x14ac:dyDescent="0"/>
  <cols>
    <col min="13" max="13" width="14.5" customWidth="1"/>
    <col min="26" max="26" width="14.5" customWidth="1"/>
    <col min="40" max="40" width="14.83203125" customWidth="1"/>
  </cols>
  <sheetData>
    <row r="1" spans="2:40">
      <c r="B1" t="s">
        <v>140</v>
      </c>
      <c r="O1" t="s">
        <v>29</v>
      </c>
      <c r="AC1" t="s">
        <v>139</v>
      </c>
    </row>
    <row r="2" spans="2:40">
      <c r="B2" t="s">
        <v>26</v>
      </c>
      <c r="C2" t="s">
        <v>133</v>
      </c>
      <c r="D2" t="s">
        <v>141</v>
      </c>
      <c r="E2" t="s">
        <v>16</v>
      </c>
      <c r="F2" t="s">
        <v>16</v>
      </c>
      <c r="G2" t="s">
        <v>449</v>
      </c>
      <c r="H2" t="s">
        <v>450</v>
      </c>
      <c r="I2" t="s">
        <v>454</v>
      </c>
      <c r="J2" s="68" t="s">
        <v>114</v>
      </c>
      <c r="K2" t="s">
        <v>451</v>
      </c>
      <c r="L2" t="s">
        <v>114</v>
      </c>
      <c r="M2" t="s">
        <v>452</v>
      </c>
      <c r="O2" t="s">
        <v>26</v>
      </c>
      <c r="P2" t="s">
        <v>133</v>
      </c>
      <c r="Q2" t="s">
        <v>141</v>
      </c>
      <c r="R2" t="s">
        <v>16</v>
      </c>
      <c r="S2" t="s">
        <v>16</v>
      </c>
      <c r="T2" t="s">
        <v>449</v>
      </c>
      <c r="U2" t="s">
        <v>450</v>
      </c>
      <c r="V2" t="s">
        <v>454</v>
      </c>
      <c r="W2" s="68" t="s">
        <v>114</v>
      </c>
      <c r="X2" t="s">
        <v>451</v>
      </c>
      <c r="Y2" t="s">
        <v>114</v>
      </c>
      <c r="Z2" t="s">
        <v>452</v>
      </c>
      <c r="AC2" t="s">
        <v>26</v>
      </c>
      <c r="AD2" t="s">
        <v>133</v>
      </c>
      <c r="AE2" t="s">
        <v>141</v>
      </c>
      <c r="AF2" s="73" t="s">
        <v>16</v>
      </c>
      <c r="AG2" s="73" t="s">
        <v>16</v>
      </c>
      <c r="AH2" t="s">
        <v>449</v>
      </c>
      <c r="AI2" t="s">
        <v>450</v>
      </c>
      <c r="AJ2" t="s">
        <v>454</v>
      </c>
      <c r="AK2" s="68" t="s">
        <v>114</v>
      </c>
      <c r="AL2" t="s">
        <v>451</v>
      </c>
      <c r="AM2" t="s">
        <v>114</v>
      </c>
      <c r="AN2" t="s">
        <v>452</v>
      </c>
    </row>
    <row r="3" spans="2:40">
      <c r="B3">
        <v>1</v>
      </c>
      <c r="C3">
        <v>500</v>
      </c>
      <c r="D3">
        <v>2</v>
      </c>
      <c r="E3" t="str">
        <f>secToTime(F3)</f>
        <v>0h 10m</v>
      </c>
      <c r="F3">
        <v>600</v>
      </c>
      <c r="G3">
        <v>4</v>
      </c>
      <c r="H3">
        <v>1</v>
      </c>
      <c r="I3">
        <v>5</v>
      </c>
      <c r="J3">
        <v>1.1000000000000001</v>
      </c>
      <c r="K3">
        <v>120</v>
      </c>
      <c r="L3">
        <v>1.1000000000000001</v>
      </c>
      <c r="M3">
        <v>50</v>
      </c>
      <c r="O3">
        <v>1</v>
      </c>
      <c r="P3">
        <v>10000</v>
      </c>
      <c r="Q3">
        <v>2</v>
      </c>
      <c r="R3" t="str">
        <f>secToTime(S3)</f>
        <v>0h 10m</v>
      </c>
      <c r="S3">
        <v>600</v>
      </c>
      <c r="T3">
        <v>8</v>
      </c>
      <c r="U3">
        <v>0.5</v>
      </c>
      <c r="V3">
        <v>4</v>
      </c>
      <c r="W3">
        <v>1.1000000000000001</v>
      </c>
      <c r="X3">
        <v>50</v>
      </c>
      <c r="Y3">
        <v>1.1000000000000001</v>
      </c>
      <c r="Z3">
        <v>150</v>
      </c>
      <c r="AC3">
        <v>1</v>
      </c>
      <c r="AD3">
        <v>5000</v>
      </c>
      <c r="AE3">
        <v>2</v>
      </c>
      <c r="AF3" s="73" t="s">
        <v>142</v>
      </c>
      <c r="AG3" s="73">
        <v>600</v>
      </c>
      <c r="AH3">
        <v>3</v>
      </c>
      <c r="AI3">
        <v>10</v>
      </c>
      <c r="AJ3">
        <v>3</v>
      </c>
      <c r="AK3">
        <v>1.1000000000000001</v>
      </c>
      <c r="AL3">
        <v>1000</v>
      </c>
      <c r="AM3">
        <v>1.1000000000000001</v>
      </c>
      <c r="AN3">
        <v>10</v>
      </c>
    </row>
    <row r="4" spans="2:40">
      <c r="B4">
        <v>2</v>
      </c>
      <c r="C4">
        <v>1000</v>
      </c>
      <c r="D4">
        <v>3</v>
      </c>
      <c r="E4" t="str">
        <f t="shared" ref="E4:E29" si="0">secToTime(F4)</f>
        <v>0h 20m</v>
      </c>
      <c r="F4">
        <v>1200</v>
      </c>
      <c r="G4">
        <f>G3</f>
        <v>4</v>
      </c>
      <c r="H4">
        <f>H3</f>
        <v>1</v>
      </c>
      <c r="I4">
        <f>I3</f>
        <v>5</v>
      </c>
      <c r="J4">
        <f>J3</f>
        <v>1.1000000000000001</v>
      </c>
      <c r="K4">
        <f>baseBetterNumbers(K3*J4)</f>
        <v>132</v>
      </c>
      <c r="L4">
        <f>L3</f>
        <v>1.1000000000000001</v>
      </c>
      <c r="M4">
        <f>baseBetterNumbers(M3*L4)</f>
        <v>55</v>
      </c>
      <c r="O4">
        <v>2</v>
      </c>
      <c r="P4">
        <v>12000</v>
      </c>
      <c r="Q4">
        <v>3</v>
      </c>
      <c r="R4" t="str">
        <f t="shared" ref="R4:R19" si="1">secToTime(S4)</f>
        <v>0h 20m</v>
      </c>
      <c r="S4">
        <v>1200</v>
      </c>
      <c r="T4">
        <f>T3</f>
        <v>8</v>
      </c>
      <c r="U4">
        <f>U3</f>
        <v>0.5</v>
      </c>
      <c r="V4">
        <f>V3</f>
        <v>4</v>
      </c>
      <c r="W4">
        <f>W3</f>
        <v>1.1000000000000001</v>
      </c>
      <c r="X4">
        <f>baseBetterNumbers(X3*W4)</f>
        <v>55</v>
      </c>
      <c r="Y4">
        <f>Y3</f>
        <v>1.1000000000000001</v>
      </c>
      <c r="Z4">
        <f>baseBetterNumbers(Z3*Y4)</f>
        <v>165</v>
      </c>
      <c r="AC4">
        <v>2</v>
      </c>
      <c r="AD4">
        <v>10000</v>
      </c>
      <c r="AE4">
        <v>3</v>
      </c>
      <c r="AF4" s="73" t="s">
        <v>143</v>
      </c>
      <c r="AG4" s="73">
        <v>1200</v>
      </c>
      <c r="AH4">
        <f>AH3</f>
        <v>3</v>
      </c>
      <c r="AI4">
        <f>AI3</f>
        <v>10</v>
      </c>
      <c r="AJ4">
        <f>AJ3</f>
        <v>3</v>
      </c>
      <c r="AK4">
        <f>AK3</f>
        <v>1.1000000000000001</v>
      </c>
      <c r="AL4">
        <f>baseBetterNumbers(AL3*AK4)</f>
        <v>1100</v>
      </c>
      <c r="AM4">
        <f>AM3</f>
        <v>1.1000000000000001</v>
      </c>
      <c r="AN4">
        <f>baseBetterNumbers(AN3*AM4)</f>
        <v>11</v>
      </c>
    </row>
    <row r="5" spans="2:40">
      <c r="B5">
        <v>3</v>
      </c>
      <c r="C5">
        <v>1500</v>
      </c>
      <c r="D5">
        <v>4</v>
      </c>
      <c r="E5" t="str">
        <f t="shared" si="0"/>
        <v>0h 30m</v>
      </c>
      <c r="F5">
        <v>1800</v>
      </c>
      <c r="G5">
        <f t="shared" ref="G5:G29" si="2">G4</f>
        <v>4</v>
      </c>
      <c r="H5">
        <f t="shared" ref="H5:H29" si="3">H4</f>
        <v>1</v>
      </c>
      <c r="I5">
        <f t="shared" ref="I5:I29" si="4">I4</f>
        <v>5</v>
      </c>
      <c r="J5">
        <f t="shared" ref="J5:J29" si="5">J4</f>
        <v>1.1000000000000001</v>
      </c>
      <c r="K5">
        <f>baseBetterNumbers(K4*J5)</f>
        <v>145</v>
      </c>
      <c r="L5">
        <f t="shared" ref="L5:L29" si="6">L4</f>
        <v>1.1000000000000001</v>
      </c>
      <c r="M5">
        <f>baseBetterNumbers(M4*L5)</f>
        <v>61</v>
      </c>
      <c r="O5">
        <v>3</v>
      </c>
      <c r="P5">
        <v>14000</v>
      </c>
      <c r="Q5">
        <v>4</v>
      </c>
      <c r="R5" t="str">
        <f t="shared" si="1"/>
        <v>0h 30m</v>
      </c>
      <c r="S5">
        <v>1800</v>
      </c>
      <c r="T5">
        <f t="shared" ref="T5:T19" si="7">T4</f>
        <v>8</v>
      </c>
      <c r="U5">
        <f t="shared" ref="U5:U19" si="8">U4</f>
        <v>0.5</v>
      </c>
      <c r="V5">
        <f t="shared" ref="V5:V19" si="9">V4</f>
        <v>4</v>
      </c>
      <c r="W5">
        <f t="shared" ref="W5:W19" si="10">W4</f>
        <v>1.1000000000000001</v>
      </c>
      <c r="X5">
        <f>baseBetterNumbers(X4*W5)</f>
        <v>61</v>
      </c>
      <c r="Y5">
        <f t="shared" ref="Y5:Y19" si="11">Y4</f>
        <v>1.1000000000000001</v>
      </c>
      <c r="Z5">
        <f>baseBetterNumbers(Z4*Y5)</f>
        <v>182</v>
      </c>
      <c r="AC5">
        <v>3</v>
      </c>
      <c r="AD5">
        <v>15000</v>
      </c>
      <c r="AE5">
        <v>4</v>
      </c>
      <c r="AF5" s="73" t="s">
        <v>144</v>
      </c>
      <c r="AG5" s="73">
        <v>1800</v>
      </c>
      <c r="AH5">
        <f t="shared" ref="AH5:AH9" si="12">AH4</f>
        <v>3</v>
      </c>
      <c r="AI5">
        <f t="shared" ref="AI5:AI9" si="13">AI4</f>
        <v>10</v>
      </c>
      <c r="AJ5">
        <f t="shared" ref="AJ5:AJ9" si="14">AJ4</f>
        <v>3</v>
      </c>
      <c r="AK5">
        <f t="shared" ref="AK5:AK9" si="15">AK4</f>
        <v>1.1000000000000001</v>
      </c>
      <c r="AL5">
        <f>baseBetterNumbers(AL4*AK5)</f>
        <v>1210</v>
      </c>
      <c r="AM5">
        <f t="shared" ref="AM5:AM9" si="16">AM4</f>
        <v>1.1000000000000001</v>
      </c>
      <c r="AN5">
        <f>baseBetterNumbers(AN4*AM5)</f>
        <v>12</v>
      </c>
    </row>
    <row r="6" spans="2:40">
      <c r="B6">
        <v>4</v>
      </c>
      <c r="C6">
        <v>2000</v>
      </c>
      <c r="D6">
        <v>5</v>
      </c>
      <c r="E6" t="str">
        <f t="shared" si="0"/>
        <v>0h 40m</v>
      </c>
      <c r="F6">
        <v>2400</v>
      </c>
      <c r="G6">
        <f t="shared" si="2"/>
        <v>4</v>
      </c>
      <c r="H6">
        <f t="shared" si="3"/>
        <v>1</v>
      </c>
      <c r="I6">
        <f t="shared" si="4"/>
        <v>5</v>
      </c>
      <c r="J6">
        <f t="shared" si="5"/>
        <v>1.1000000000000001</v>
      </c>
      <c r="K6">
        <f>baseBetterNumbers(K5*J6)</f>
        <v>160</v>
      </c>
      <c r="L6">
        <f t="shared" si="6"/>
        <v>1.1000000000000001</v>
      </c>
      <c r="M6">
        <f>baseBetterNumbers(M5*L6)</f>
        <v>67</v>
      </c>
      <c r="O6">
        <v>4</v>
      </c>
      <c r="P6">
        <v>16000</v>
      </c>
      <c r="Q6">
        <v>5</v>
      </c>
      <c r="R6" t="str">
        <f t="shared" si="1"/>
        <v>0h 40m</v>
      </c>
      <c r="S6">
        <v>2400</v>
      </c>
      <c r="T6">
        <f t="shared" si="7"/>
        <v>8</v>
      </c>
      <c r="U6">
        <f t="shared" si="8"/>
        <v>0.5</v>
      </c>
      <c r="V6">
        <f t="shared" si="9"/>
        <v>4</v>
      </c>
      <c r="W6">
        <f t="shared" si="10"/>
        <v>1.1000000000000001</v>
      </c>
      <c r="X6">
        <f>baseBetterNumbers(X5*W6)</f>
        <v>67</v>
      </c>
      <c r="Y6">
        <f t="shared" si="11"/>
        <v>1.1000000000000001</v>
      </c>
      <c r="Z6">
        <f>baseBetterNumbers(Z5*Y6)</f>
        <v>200</v>
      </c>
      <c r="AC6">
        <v>4</v>
      </c>
      <c r="AD6">
        <v>20000</v>
      </c>
      <c r="AE6">
        <v>5</v>
      </c>
      <c r="AF6" s="73" t="s">
        <v>145</v>
      </c>
      <c r="AG6" s="73">
        <v>2400</v>
      </c>
      <c r="AH6">
        <f t="shared" si="12"/>
        <v>3</v>
      </c>
      <c r="AI6">
        <f t="shared" si="13"/>
        <v>10</v>
      </c>
      <c r="AJ6">
        <f t="shared" si="14"/>
        <v>3</v>
      </c>
      <c r="AK6">
        <f t="shared" si="15"/>
        <v>1.1000000000000001</v>
      </c>
      <c r="AL6">
        <f>baseBetterNumbers(AL5*AK6)</f>
        <v>1330</v>
      </c>
      <c r="AM6">
        <f t="shared" si="16"/>
        <v>1.1000000000000001</v>
      </c>
      <c r="AN6">
        <f>baseBetterNumbers(AN5*AM6)</f>
        <v>13</v>
      </c>
    </row>
    <row r="7" spans="2:40">
      <c r="B7">
        <v>5</v>
      </c>
      <c r="C7">
        <v>2500</v>
      </c>
      <c r="D7">
        <v>6</v>
      </c>
      <c r="E7" t="str">
        <f t="shared" si="0"/>
        <v>0h 50m</v>
      </c>
      <c r="F7">
        <v>3000</v>
      </c>
      <c r="G7">
        <f t="shared" si="2"/>
        <v>4</v>
      </c>
      <c r="H7">
        <f t="shared" si="3"/>
        <v>1</v>
      </c>
      <c r="I7">
        <f t="shared" si="4"/>
        <v>5</v>
      </c>
      <c r="J7">
        <f t="shared" si="5"/>
        <v>1.1000000000000001</v>
      </c>
      <c r="K7">
        <f>baseBetterNumbers(K6*J7)</f>
        <v>176</v>
      </c>
      <c r="L7">
        <f t="shared" si="6"/>
        <v>1.1000000000000001</v>
      </c>
      <c r="M7">
        <f>baseBetterNumbers(M6*L7)</f>
        <v>74</v>
      </c>
      <c r="O7">
        <v>5</v>
      </c>
      <c r="P7">
        <v>18000</v>
      </c>
      <c r="Q7">
        <v>6</v>
      </c>
      <c r="R7" t="str">
        <f t="shared" si="1"/>
        <v>0h 50m</v>
      </c>
      <c r="S7">
        <v>3000</v>
      </c>
      <c r="T7">
        <f t="shared" si="7"/>
        <v>8</v>
      </c>
      <c r="U7">
        <f t="shared" si="8"/>
        <v>0.5</v>
      </c>
      <c r="V7">
        <f t="shared" si="9"/>
        <v>4</v>
      </c>
      <c r="W7">
        <f t="shared" si="10"/>
        <v>1.1000000000000001</v>
      </c>
      <c r="X7">
        <f>baseBetterNumbers(X6*W7)</f>
        <v>74</v>
      </c>
      <c r="Y7">
        <f t="shared" si="11"/>
        <v>1.1000000000000001</v>
      </c>
      <c r="Z7">
        <f>baseBetterNumbers(Z6*Y7)</f>
        <v>220</v>
      </c>
      <c r="AC7">
        <v>5</v>
      </c>
      <c r="AD7">
        <v>25000</v>
      </c>
      <c r="AE7">
        <v>6</v>
      </c>
      <c r="AF7" s="73" t="s">
        <v>146</v>
      </c>
      <c r="AG7" s="73">
        <v>3000</v>
      </c>
      <c r="AH7">
        <f t="shared" si="12"/>
        <v>3</v>
      </c>
      <c r="AI7">
        <f t="shared" si="13"/>
        <v>10</v>
      </c>
      <c r="AJ7">
        <f t="shared" si="14"/>
        <v>3</v>
      </c>
      <c r="AK7">
        <f t="shared" si="15"/>
        <v>1.1000000000000001</v>
      </c>
      <c r="AL7">
        <f>baseBetterNumbers(AL6*AK7)</f>
        <v>1460</v>
      </c>
      <c r="AM7">
        <f t="shared" si="16"/>
        <v>1.1000000000000001</v>
      </c>
      <c r="AN7">
        <f>baseBetterNumbers(AN6*AM7)</f>
        <v>14</v>
      </c>
    </row>
    <row r="8" spans="2:40">
      <c r="B8">
        <v>6</v>
      </c>
      <c r="C8">
        <v>3000</v>
      </c>
      <c r="D8">
        <v>7</v>
      </c>
      <c r="E8" t="str">
        <f t="shared" si="0"/>
        <v>1h 0m</v>
      </c>
      <c r="F8">
        <v>3600</v>
      </c>
      <c r="G8">
        <f t="shared" si="2"/>
        <v>4</v>
      </c>
      <c r="H8">
        <f t="shared" si="3"/>
        <v>1</v>
      </c>
      <c r="I8">
        <f t="shared" si="4"/>
        <v>5</v>
      </c>
      <c r="J8">
        <f t="shared" si="5"/>
        <v>1.1000000000000001</v>
      </c>
      <c r="K8">
        <f>baseBetterNumbers(K7*J8)</f>
        <v>194</v>
      </c>
      <c r="L8">
        <f t="shared" si="6"/>
        <v>1.1000000000000001</v>
      </c>
      <c r="M8">
        <f>baseBetterNumbers(M7*L8)</f>
        <v>81</v>
      </c>
      <c r="O8">
        <v>6</v>
      </c>
      <c r="P8">
        <v>20000</v>
      </c>
      <c r="Q8">
        <v>7</v>
      </c>
      <c r="R8" t="str">
        <f t="shared" si="1"/>
        <v>1h 0m</v>
      </c>
      <c r="S8">
        <v>3600</v>
      </c>
      <c r="T8">
        <f t="shared" si="7"/>
        <v>8</v>
      </c>
      <c r="U8">
        <f t="shared" si="8"/>
        <v>0.5</v>
      </c>
      <c r="V8">
        <f t="shared" si="9"/>
        <v>4</v>
      </c>
      <c r="W8">
        <f t="shared" si="10"/>
        <v>1.1000000000000001</v>
      </c>
      <c r="X8">
        <f>baseBetterNumbers(X7*W8)</f>
        <v>81</v>
      </c>
      <c r="Y8">
        <f t="shared" si="11"/>
        <v>1.1000000000000001</v>
      </c>
      <c r="Z8">
        <f>baseBetterNumbers(Z7*Y8)</f>
        <v>242</v>
      </c>
      <c r="AC8">
        <v>6</v>
      </c>
      <c r="AD8">
        <v>30000</v>
      </c>
      <c r="AE8">
        <v>7</v>
      </c>
      <c r="AF8" s="73" t="s">
        <v>147</v>
      </c>
      <c r="AG8" s="73">
        <v>3600</v>
      </c>
      <c r="AH8">
        <f t="shared" si="12"/>
        <v>3</v>
      </c>
      <c r="AI8">
        <f t="shared" si="13"/>
        <v>10</v>
      </c>
      <c r="AJ8">
        <f t="shared" si="14"/>
        <v>3</v>
      </c>
      <c r="AK8">
        <f t="shared" si="15"/>
        <v>1.1000000000000001</v>
      </c>
      <c r="AL8">
        <f>baseBetterNumbers(AL7*AK8)</f>
        <v>1610</v>
      </c>
      <c r="AM8">
        <f t="shared" si="16"/>
        <v>1.1000000000000001</v>
      </c>
      <c r="AN8">
        <f>baseBetterNumbers(AN7*AM8)</f>
        <v>15</v>
      </c>
    </row>
    <row r="9" spans="2:40">
      <c r="B9">
        <v>7</v>
      </c>
      <c r="C9">
        <v>3500</v>
      </c>
      <c r="D9">
        <v>8</v>
      </c>
      <c r="E9" t="str">
        <f t="shared" si="0"/>
        <v>1h 10m</v>
      </c>
      <c r="F9">
        <v>4200</v>
      </c>
      <c r="G9">
        <f t="shared" si="2"/>
        <v>4</v>
      </c>
      <c r="H9">
        <f t="shared" si="3"/>
        <v>1</v>
      </c>
      <c r="I9">
        <f t="shared" si="4"/>
        <v>5</v>
      </c>
      <c r="J9">
        <f t="shared" si="5"/>
        <v>1.1000000000000001</v>
      </c>
      <c r="K9">
        <f>baseBetterNumbers(K8*J9)</f>
        <v>213</v>
      </c>
      <c r="L9">
        <f t="shared" si="6"/>
        <v>1.1000000000000001</v>
      </c>
      <c r="M9">
        <f>baseBetterNumbers(M8*L9)</f>
        <v>89</v>
      </c>
      <c r="O9">
        <v>7</v>
      </c>
      <c r="P9">
        <v>22000</v>
      </c>
      <c r="Q9">
        <v>8</v>
      </c>
      <c r="R9" t="str">
        <f t="shared" si="1"/>
        <v>1h 10m</v>
      </c>
      <c r="S9">
        <v>4200</v>
      </c>
      <c r="T9">
        <f t="shared" si="7"/>
        <v>8</v>
      </c>
      <c r="U9">
        <f t="shared" si="8"/>
        <v>0.5</v>
      </c>
      <c r="V9">
        <f t="shared" si="9"/>
        <v>4</v>
      </c>
      <c r="W9">
        <f t="shared" si="10"/>
        <v>1.1000000000000001</v>
      </c>
      <c r="X9">
        <f>baseBetterNumbers(X8*W9)</f>
        <v>89</v>
      </c>
      <c r="Y9">
        <f t="shared" si="11"/>
        <v>1.1000000000000001</v>
      </c>
      <c r="Z9">
        <f>baseBetterNumbers(Z8*Y9)</f>
        <v>266</v>
      </c>
      <c r="AC9">
        <v>7</v>
      </c>
      <c r="AD9">
        <v>35000</v>
      </c>
      <c r="AE9">
        <v>8</v>
      </c>
      <c r="AF9" s="73" t="s">
        <v>148</v>
      </c>
      <c r="AG9" s="73">
        <v>4200</v>
      </c>
      <c r="AH9">
        <f t="shared" si="12"/>
        <v>3</v>
      </c>
      <c r="AI9">
        <f t="shared" si="13"/>
        <v>10</v>
      </c>
      <c r="AJ9">
        <f t="shared" si="14"/>
        <v>3</v>
      </c>
      <c r="AK9">
        <f t="shared" si="15"/>
        <v>1.1000000000000001</v>
      </c>
      <c r="AL9">
        <f>baseBetterNumbers(AL8*AK9)</f>
        <v>1770</v>
      </c>
      <c r="AM9">
        <f t="shared" si="16"/>
        <v>1.1000000000000001</v>
      </c>
      <c r="AN9">
        <f>baseBetterNumbers(AN8*AM9)</f>
        <v>16</v>
      </c>
    </row>
    <row r="10" spans="2:40">
      <c r="B10">
        <v>8</v>
      </c>
      <c r="C10">
        <v>4000</v>
      </c>
      <c r="D10">
        <v>9</v>
      </c>
      <c r="E10" t="str">
        <f t="shared" si="0"/>
        <v>1h 20m</v>
      </c>
      <c r="F10">
        <v>4800</v>
      </c>
      <c r="G10">
        <f t="shared" si="2"/>
        <v>4</v>
      </c>
      <c r="H10">
        <f t="shared" si="3"/>
        <v>1</v>
      </c>
      <c r="I10">
        <f t="shared" si="4"/>
        <v>5</v>
      </c>
      <c r="J10">
        <f t="shared" si="5"/>
        <v>1.1000000000000001</v>
      </c>
      <c r="K10">
        <f>baseBetterNumbers(K9*J10)</f>
        <v>234</v>
      </c>
      <c r="L10">
        <f t="shared" si="6"/>
        <v>1.1000000000000001</v>
      </c>
      <c r="M10">
        <f>baseBetterNumbers(M9*L10)</f>
        <v>98</v>
      </c>
      <c r="O10">
        <v>8</v>
      </c>
      <c r="P10">
        <v>24000</v>
      </c>
      <c r="Q10">
        <v>9</v>
      </c>
      <c r="R10" t="str">
        <f t="shared" si="1"/>
        <v>1h 20m</v>
      </c>
      <c r="S10">
        <v>4800</v>
      </c>
      <c r="T10">
        <f t="shared" si="7"/>
        <v>8</v>
      </c>
      <c r="U10">
        <f t="shared" si="8"/>
        <v>0.5</v>
      </c>
      <c r="V10">
        <f t="shared" si="9"/>
        <v>4</v>
      </c>
      <c r="W10">
        <f t="shared" si="10"/>
        <v>1.1000000000000001</v>
      </c>
      <c r="X10">
        <f>baseBetterNumbers(X9*W10)</f>
        <v>98</v>
      </c>
      <c r="Y10">
        <f t="shared" si="11"/>
        <v>1.1000000000000001</v>
      </c>
      <c r="Z10">
        <f>baseBetterNumbers(Z9*Y10)</f>
        <v>293</v>
      </c>
    </row>
    <row r="11" spans="2:40">
      <c r="B11">
        <v>9</v>
      </c>
      <c r="C11">
        <v>4500</v>
      </c>
      <c r="D11">
        <v>10</v>
      </c>
      <c r="E11" t="str">
        <f t="shared" si="0"/>
        <v>1h 30m</v>
      </c>
      <c r="F11">
        <v>5400</v>
      </c>
      <c r="G11">
        <f t="shared" si="2"/>
        <v>4</v>
      </c>
      <c r="H11">
        <f t="shared" si="3"/>
        <v>1</v>
      </c>
      <c r="I11">
        <f t="shared" si="4"/>
        <v>5</v>
      </c>
      <c r="J11">
        <f t="shared" si="5"/>
        <v>1.1000000000000001</v>
      </c>
      <c r="K11">
        <f>baseBetterNumbers(K10*J11)</f>
        <v>257</v>
      </c>
      <c r="L11">
        <f t="shared" si="6"/>
        <v>1.1000000000000001</v>
      </c>
      <c r="M11">
        <f>baseBetterNumbers(M10*L11)</f>
        <v>108</v>
      </c>
      <c r="O11">
        <v>9</v>
      </c>
      <c r="P11">
        <v>26000</v>
      </c>
      <c r="Q11">
        <v>10</v>
      </c>
      <c r="R11" t="str">
        <f t="shared" si="1"/>
        <v>1h 30m</v>
      </c>
      <c r="S11">
        <v>5400</v>
      </c>
      <c r="T11">
        <f t="shared" si="7"/>
        <v>8</v>
      </c>
      <c r="U11">
        <f t="shared" si="8"/>
        <v>0.5</v>
      </c>
      <c r="V11">
        <f t="shared" si="9"/>
        <v>4</v>
      </c>
      <c r="W11">
        <f t="shared" si="10"/>
        <v>1.1000000000000001</v>
      </c>
      <c r="X11">
        <f>baseBetterNumbers(X10*W11)</f>
        <v>108</v>
      </c>
      <c r="Y11">
        <f t="shared" si="11"/>
        <v>1.1000000000000001</v>
      </c>
      <c r="Z11">
        <f>baseBetterNumbers(Z10*Y11)</f>
        <v>322</v>
      </c>
    </row>
    <row r="12" spans="2:40">
      <c r="B12">
        <v>10</v>
      </c>
      <c r="C12">
        <v>5000</v>
      </c>
      <c r="D12">
        <v>11</v>
      </c>
      <c r="E12" t="str">
        <f t="shared" si="0"/>
        <v>1h 40m</v>
      </c>
      <c r="F12">
        <v>6000</v>
      </c>
      <c r="G12">
        <f t="shared" si="2"/>
        <v>4</v>
      </c>
      <c r="H12">
        <f t="shared" si="3"/>
        <v>1</v>
      </c>
      <c r="I12">
        <f t="shared" si="4"/>
        <v>5</v>
      </c>
      <c r="J12">
        <f t="shared" si="5"/>
        <v>1.1000000000000001</v>
      </c>
      <c r="K12">
        <f>baseBetterNumbers(K11*J12)</f>
        <v>283</v>
      </c>
      <c r="L12">
        <f t="shared" si="6"/>
        <v>1.1000000000000001</v>
      </c>
      <c r="M12">
        <f>baseBetterNumbers(M11*L12)</f>
        <v>119</v>
      </c>
      <c r="O12">
        <v>10</v>
      </c>
      <c r="P12">
        <v>28000</v>
      </c>
      <c r="Q12">
        <v>11</v>
      </c>
      <c r="R12" t="str">
        <f t="shared" si="1"/>
        <v>1h 40m</v>
      </c>
      <c r="S12">
        <v>6000</v>
      </c>
      <c r="T12">
        <f t="shared" si="7"/>
        <v>8</v>
      </c>
      <c r="U12">
        <f t="shared" si="8"/>
        <v>0.5</v>
      </c>
      <c r="V12">
        <f t="shared" si="9"/>
        <v>4</v>
      </c>
      <c r="W12">
        <f t="shared" si="10"/>
        <v>1.1000000000000001</v>
      </c>
      <c r="X12">
        <f>baseBetterNumbers(X11*W12)</f>
        <v>119</v>
      </c>
      <c r="Y12">
        <f t="shared" si="11"/>
        <v>1.1000000000000001</v>
      </c>
      <c r="Z12">
        <f>baseBetterNumbers(Z11*Y12)</f>
        <v>354</v>
      </c>
    </row>
    <row r="13" spans="2:40">
      <c r="B13">
        <v>11</v>
      </c>
      <c r="C13">
        <v>5500</v>
      </c>
      <c r="D13">
        <v>12</v>
      </c>
      <c r="E13" t="str">
        <f t="shared" si="0"/>
        <v>1h 50m</v>
      </c>
      <c r="F13">
        <v>6600</v>
      </c>
      <c r="G13">
        <f t="shared" si="2"/>
        <v>4</v>
      </c>
      <c r="H13">
        <f t="shared" si="3"/>
        <v>1</v>
      </c>
      <c r="I13">
        <f t="shared" si="4"/>
        <v>5</v>
      </c>
      <c r="J13">
        <f t="shared" si="5"/>
        <v>1.1000000000000001</v>
      </c>
      <c r="K13">
        <f>baseBetterNumbers(K12*J13)</f>
        <v>311</v>
      </c>
      <c r="L13">
        <f t="shared" si="6"/>
        <v>1.1000000000000001</v>
      </c>
      <c r="M13">
        <f>baseBetterNumbers(M12*L13)</f>
        <v>131</v>
      </c>
      <c r="O13">
        <v>11</v>
      </c>
      <c r="P13">
        <v>30000</v>
      </c>
      <c r="Q13">
        <v>12</v>
      </c>
      <c r="R13" t="str">
        <f t="shared" si="1"/>
        <v>1h 50m</v>
      </c>
      <c r="S13">
        <v>6600</v>
      </c>
      <c r="T13">
        <f t="shared" si="7"/>
        <v>8</v>
      </c>
      <c r="U13">
        <f t="shared" si="8"/>
        <v>0.5</v>
      </c>
      <c r="V13">
        <f t="shared" si="9"/>
        <v>4</v>
      </c>
      <c r="W13">
        <f t="shared" si="10"/>
        <v>1.1000000000000001</v>
      </c>
      <c r="X13">
        <f>baseBetterNumbers(X12*W13)</f>
        <v>131</v>
      </c>
      <c r="Y13">
        <f t="shared" si="11"/>
        <v>1.1000000000000001</v>
      </c>
      <c r="Z13">
        <f>baseBetterNumbers(Z12*Y13)</f>
        <v>389</v>
      </c>
    </row>
    <row r="14" spans="2:40">
      <c r="B14">
        <v>12</v>
      </c>
      <c r="C14">
        <v>6000</v>
      </c>
      <c r="D14">
        <v>13</v>
      </c>
      <c r="E14" t="str">
        <f t="shared" si="0"/>
        <v>2h 0m</v>
      </c>
      <c r="F14">
        <v>7200</v>
      </c>
      <c r="G14">
        <f t="shared" si="2"/>
        <v>4</v>
      </c>
      <c r="H14">
        <f t="shared" si="3"/>
        <v>1</v>
      </c>
      <c r="I14">
        <f t="shared" si="4"/>
        <v>5</v>
      </c>
      <c r="J14">
        <f t="shared" si="5"/>
        <v>1.1000000000000001</v>
      </c>
      <c r="K14">
        <f>baseBetterNumbers(K13*J14)</f>
        <v>342</v>
      </c>
      <c r="L14">
        <f t="shared" si="6"/>
        <v>1.1000000000000001</v>
      </c>
      <c r="M14">
        <f>baseBetterNumbers(M13*L14)</f>
        <v>144</v>
      </c>
      <c r="O14">
        <v>12</v>
      </c>
      <c r="P14">
        <v>32000</v>
      </c>
      <c r="Q14">
        <v>13</v>
      </c>
      <c r="R14" t="str">
        <f t="shared" si="1"/>
        <v>2h 0m</v>
      </c>
      <c r="S14">
        <v>7200</v>
      </c>
      <c r="T14">
        <f t="shared" si="7"/>
        <v>8</v>
      </c>
      <c r="U14">
        <f t="shared" si="8"/>
        <v>0.5</v>
      </c>
      <c r="V14">
        <f t="shared" si="9"/>
        <v>4</v>
      </c>
      <c r="W14">
        <f t="shared" si="10"/>
        <v>1.1000000000000001</v>
      </c>
      <c r="X14">
        <f>baseBetterNumbers(X13*W14)</f>
        <v>144</v>
      </c>
      <c r="Y14">
        <f t="shared" si="11"/>
        <v>1.1000000000000001</v>
      </c>
      <c r="Z14">
        <f>baseBetterNumbers(Z13*Y14)</f>
        <v>428</v>
      </c>
    </row>
    <row r="15" spans="2:40">
      <c r="B15">
        <v>13</v>
      </c>
      <c r="C15">
        <v>6500</v>
      </c>
      <c r="D15">
        <v>14</v>
      </c>
      <c r="E15" t="str">
        <f t="shared" si="0"/>
        <v>2h 10m</v>
      </c>
      <c r="F15">
        <v>7800</v>
      </c>
      <c r="G15">
        <f t="shared" si="2"/>
        <v>4</v>
      </c>
      <c r="H15">
        <f t="shared" si="3"/>
        <v>1</v>
      </c>
      <c r="I15">
        <f t="shared" si="4"/>
        <v>5</v>
      </c>
      <c r="J15">
        <f t="shared" si="5"/>
        <v>1.1000000000000001</v>
      </c>
      <c r="K15">
        <f>baseBetterNumbers(K14*J15)</f>
        <v>376</v>
      </c>
      <c r="L15">
        <f t="shared" si="6"/>
        <v>1.1000000000000001</v>
      </c>
      <c r="M15">
        <f>baseBetterNumbers(M14*L15)</f>
        <v>158</v>
      </c>
      <c r="O15">
        <v>13</v>
      </c>
      <c r="P15">
        <v>34000</v>
      </c>
      <c r="Q15">
        <v>14</v>
      </c>
      <c r="R15" t="str">
        <f t="shared" si="1"/>
        <v>2h 10m</v>
      </c>
      <c r="S15">
        <v>7800</v>
      </c>
      <c r="T15">
        <f t="shared" si="7"/>
        <v>8</v>
      </c>
      <c r="U15">
        <f t="shared" si="8"/>
        <v>0.5</v>
      </c>
      <c r="V15">
        <f t="shared" si="9"/>
        <v>4</v>
      </c>
      <c r="W15">
        <f t="shared" si="10"/>
        <v>1.1000000000000001</v>
      </c>
      <c r="X15">
        <f>baseBetterNumbers(X14*W15)</f>
        <v>158</v>
      </c>
      <c r="Y15">
        <f t="shared" si="11"/>
        <v>1.1000000000000001</v>
      </c>
      <c r="Z15">
        <f>baseBetterNumbers(Z14*Y15)</f>
        <v>471</v>
      </c>
    </row>
    <row r="16" spans="2:40">
      <c r="B16">
        <v>14</v>
      </c>
      <c r="C16">
        <v>7000</v>
      </c>
      <c r="D16">
        <v>15</v>
      </c>
      <c r="E16" t="str">
        <f t="shared" si="0"/>
        <v>2h 20m</v>
      </c>
      <c r="F16">
        <v>8400</v>
      </c>
      <c r="G16">
        <f t="shared" si="2"/>
        <v>4</v>
      </c>
      <c r="H16">
        <f t="shared" si="3"/>
        <v>1</v>
      </c>
      <c r="I16">
        <f t="shared" si="4"/>
        <v>5</v>
      </c>
      <c r="J16">
        <f t="shared" si="5"/>
        <v>1.1000000000000001</v>
      </c>
      <c r="K16">
        <f>baseBetterNumbers(K15*J16)</f>
        <v>414</v>
      </c>
      <c r="L16">
        <f t="shared" si="6"/>
        <v>1.1000000000000001</v>
      </c>
      <c r="M16">
        <f>baseBetterNumbers(M15*L16)</f>
        <v>174</v>
      </c>
      <c r="O16">
        <v>14</v>
      </c>
      <c r="P16">
        <v>36000</v>
      </c>
      <c r="Q16">
        <v>15</v>
      </c>
      <c r="R16" t="str">
        <f t="shared" si="1"/>
        <v>2h 20m</v>
      </c>
      <c r="S16">
        <v>8400</v>
      </c>
      <c r="T16">
        <f t="shared" si="7"/>
        <v>8</v>
      </c>
      <c r="U16">
        <f t="shared" si="8"/>
        <v>0.5</v>
      </c>
      <c r="V16">
        <f t="shared" si="9"/>
        <v>4</v>
      </c>
      <c r="W16">
        <f t="shared" si="10"/>
        <v>1.1000000000000001</v>
      </c>
      <c r="X16">
        <f>baseBetterNumbers(X15*W16)</f>
        <v>174</v>
      </c>
      <c r="Y16">
        <f t="shared" si="11"/>
        <v>1.1000000000000001</v>
      </c>
      <c r="Z16">
        <f>baseBetterNumbers(Z15*Y16)</f>
        <v>518</v>
      </c>
    </row>
    <row r="17" spans="2:26">
      <c r="B17">
        <v>15</v>
      </c>
      <c r="C17">
        <v>7500</v>
      </c>
      <c r="D17">
        <v>16</v>
      </c>
      <c r="E17" t="str">
        <f t="shared" si="0"/>
        <v>2h 30m</v>
      </c>
      <c r="F17">
        <v>9000</v>
      </c>
      <c r="G17">
        <f t="shared" si="2"/>
        <v>4</v>
      </c>
      <c r="H17">
        <f t="shared" si="3"/>
        <v>1</v>
      </c>
      <c r="I17">
        <f t="shared" si="4"/>
        <v>5</v>
      </c>
      <c r="J17">
        <f t="shared" si="5"/>
        <v>1.1000000000000001</v>
      </c>
      <c r="K17">
        <f>baseBetterNumbers(K16*J17)</f>
        <v>455</v>
      </c>
      <c r="L17">
        <f t="shared" si="6"/>
        <v>1.1000000000000001</v>
      </c>
      <c r="M17">
        <f>baseBetterNumbers(M16*L17)</f>
        <v>191</v>
      </c>
      <c r="O17">
        <v>15</v>
      </c>
      <c r="P17">
        <v>38000</v>
      </c>
      <c r="Q17">
        <v>16</v>
      </c>
      <c r="R17" t="str">
        <f t="shared" si="1"/>
        <v>2h 30m</v>
      </c>
      <c r="S17">
        <v>9000</v>
      </c>
      <c r="T17">
        <f t="shared" si="7"/>
        <v>8</v>
      </c>
      <c r="U17">
        <f t="shared" si="8"/>
        <v>0.5</v>
      </c>
      <c r="V17">
        <f t="shared" si="9"/>
        <v>4</v>
      </c>
      <c r="W17">
        <f t="shared" si="10"/>
        <v>1.1000000000000001</v>
      </c>
      <c r="X17">
        <f>baseBetterNumbers(X16*W17)</f>
        <v>191</v>
      </c>
      <c r="Y17">
        <f t="shared" si="11"/>
        <v>1.1000000000000001</v>
      </c>
      <c r="Z17">
        <f>baseBetterNumbers(Z16*Y17)</f>
        <v>570</v>
      </c>
    </row>
    <row r="18" spans="2:26">
      <c r="B18">
        <v>16</v>
      </c>
      <c r="C18">
        <v>8000</v>
      </c>
      <c r="D18">
        <v>17</v>
      </c>
      <c r="E18" t="str">
        <f t="shared" si="0"/>
        <v>2h 40m</v>
      </c>
      <c r="F18">
        <v>9600</v>
      </c>
      <c r="G18">
        <f t="shared" si="2"/>
        <v>4</v>
      </c>
      <c r="H18">
        <f t="shared" si="3"/>
        <v>1</v>
      </c>
      <c r="I18">
        <f t="shared" si="4"/>
        <v>5</v>
      </c>
      <c r="J18">
        <f t="shared" si="5"/>
        <v>1.1000000000000001</v>
      </c>
      <c r="K18">
        <f>baseBetterNumbers(K17*J18)</f>
        <v>501</v>
      </c>
      <c r="L18">
        <f t="shared" si="6"/>
        <v>1.1000000000000001</v>
      </c>
      <c r="M18">
        <f>baseBetterNumbers(M17*L18)</f>
        <v>210</v>
      </c>
      <c r="O18">
        <v>16</v>
      </c>
      <c r="P18">
        <v>40000</v>
      </c>
      <c r="Q18">
        <v>17</v>
      </c>
      <c r="R18" t="str">
        <f t="shared" si="1"/>
        <v>2h 40m</v>
      </c>
      <c r="S18">
        <v>9600</v>
      </c>
      <c r="T18">
        <f t="shared" si="7"/>
        <v>8</v>
      </c>
      <c r="U18">
        <f t="shared" si="8"/>
        <v>0.5</v>
      </c>
      <c r="V18">
        <f t="shared" si="9"/>
        <v>4</v>
      </c>
      <c r="W18">
        <f t="shared" si="10"/>
        <v>1.1000000000000001</v>
      </c>
      <c r="X18">
        <f>baseBetterNumbers(X17*W18)</f>
        <v>210</v>
      </c>
      <c r="Y18">
        <f t="shared" si="11"/>
        <v>1.1000000000000001</v>
      </c>
      <c r="Z18">
        <f>baseBetterNumbers(Z17*Y18)</f>
        <v>627</v>
      </c>
    </row>
    <row r="19" spans="2:26">
      <c r="B19">
        <v>17</v>
      </c>
      <c r="C19">
        <v>8500</v>
      </c>
      <c r="D19">
        <v>18</v>
      </c>
      <c r="E19" t="str">
        <f t="shared" si="0"/>
        <v>2h 50m</v>
      </c>
      <c r="F19">
        <v>10200</v>
      </c>
      <c r="G19">
        <f t="shared" si="2"/>
        <v>4</v>
      </c>
      <c r="H19">
        <f t="shared" si="3"/>
        <v>1</v>
      </c>
      <c r="I19">
        <f t="shared" si="4"/>
        <v>5</v>
      </c>
      <c r="J19">
        <f t="shared" si="5"/>
        <v>1.1000000000000001</v>
      </c>
      <c r="K19">
        <f>baseBetterNumbers(K18*J19)</f>
        <v>551</v>
      </c>
      <c r="L19">
        <f t="shared" si="6"/>
        <v>1.1000000000000001</v>
      </c>
      <c r="M19">
        <f>baseBetterNumbers(M18*L19)</f>
        <v>231</v>
      </c>
      <c r="O19">
        <v>17</v>
      </c>
      <c r="P19">
        <v>42000</v>
      </c>
      <c r="Q19">
        <v>18</v>
      </c>
      <c r="R19" t="str">
        <f t="shared" si="1"/>
        <v>2h 50m</v>
      </c>
      <c r="S19">
        <v>10200</v>
      </c>
      <c r="T19">
        <f t="shared" si="7"/>
        <v>8</v>
      </c>
      <c r="U19">
        <f t="shared" si="8"/>
        <v>0.5</v>
      </c>
      <c r="V19">
        <f t="shared" si="9"/>
        <v>4</v>
      </c>
      <c r="W19">
        <f t="shared" si="10"/>
        <v>1.1000000000000001</v>
      </c>
      <c r="X19">
        <f>baseBetterNumbers(X18*W19)</f>
        <v>231</v>
      </c>
      <c r="Y19">
        <f t="shared" si="11"/>
        <v>1.1000000000000001</v>
      </c>
      <c r="Z19">
        <f>baseBetterNumbers(Z18*Y19)</f>
        <v>690</v>
      </c>
    </row>
    <row r="20" spans="2:26">
      <c r="B20">
        <v>18</v>
      </c>
      <c r="C20">
        <v>9000</v>
      </c>
      <c r="D20">
        <v>19</v>
      </c>
      <c r="E20" t="str">
        <f t="shared" si="0"/>
        <v>3h 0m</v>
      </c>
      <c r="F20">
        <v>10800</v>
      </c>
      <c r="G20">
        <f t="shared" si="2"/>
        <v>4</v>
      </c>
      <c r="H20">
        <f t="shared" si="3"/>
        <v>1</v>
      </c>
      <c r="I20">
        <f t="shared" si="4"/>
        <v>5</v>
      </c>
      <c r="J20">
        <f t="shared" si="5"/>
        <v>1.1000000000000001</v>
      </c>
      <c r="K20">
        <f>baseBetterNumbers(K19*J20)</f>
        <v>606</v>
      </c>
      <c r="L20">
        <f t="shared" si="6"/>
        <v>1.1000000000000001</v>
      </c>
      <c r="M20">
        <f>baseBetterNumbers(M19*L20)</f>
        <v>254</v>
      </c>
    </row>
    <row r="21" spans="2:26">
      <c r="B21">
        <v>19</v>
      </c>
      <c r="C21">
        <v>9500</v>
      </c>
      <c r="D21">
        <v>20</v>
      </c>
      <c r="E21" t="str">
        <f t="shared" si="0"/>
        <v>3h 10m</v>
      </c>
      <c r="F21">
        <v>11400</v>
      </c>
      <c r="G21">
        <f t="shared" si="2"/>
        <v>4</v>
      </c>
      <c r="H21">
        <f t="shared" si="3"/>
        <v>1</v>
      </c>
      <c r="I21">
        <f t="shared" si="4"/>
        <v>5</v>
      </c>
      <c r="J21">
        <f t="shared" si="5"/>
        <v>1.1000000000000001</v>
      </c>
      <c r="K21">
        <f>baseBetterNumbers(K20*J21)</f>
        <v>667</v>
      </c>
      <c r="L21">
        <f t="shared" si="6"/>
        <v>1.1000000000000001</v>
      </c>
      <c r="M21">
        <f>baseBetterNumbers(M20*L21)</f>
        <v>279</v>
      </c>
    </row>
    <row r="22" spans="2:26">
      <c r="B22">
        <v>20</v>
      </c>
      <c r="C22">
        <v>10000</v>
      </c>
      <c r="D22">
        <v>21</v>
      </c>
      <c r="E22" t="str">
        <f t="shared" si="0"/>
        <v>3h 20m</v>
      </c>
      <c r="F22">
        <v>12000</v>
      </c>
      <c r="G22">
        <f t="shared" si="2"/>
        <v>4</v>
      </c>
      <c r="H22">
        <f t="shared" si="3"/>
        <v>1</v>
      </c>
      <c r="I22">
        <f t="shared" si="4"/>
        <v>5</v>
      </c>
      <c r="J22">
        <f t="shared" si="5"/>
        <v>1.1000000000000001</v>
      </c>
      <c r="K22">
        <f>baseBetterNumbers(K21*J22)</f>
        <v>734</v>
      </c>
      <c r="L22">
        <f t="shared" si="6"/>
        <v>1.1000000000000001</v>
      </c>
      <c r="M22">
        <f>baseBetterNumbers(M21*L22)</f>
        <v>307</v>
      </c>
    </row>
    <row r="23" spans="2:26">
      <c r="B23">
        <v>21</v>
      </c>
      <c r="C23">
        <v>10500</v>
      </c>
      <c r="D23">
        <v>22</v>
      </c>
      <c r="E23" t="str">
        <f t="shared" si="0"/>
        <v>3h 30m</v>
      </c>
      <c r="F23">
        <v>12600</v>
      </c>
      <c r="G23">
        <f t="shared" si="2"/>
        <v>4</v>
      </c>
      <c r="H23">
        <f t="shared" si="3"/>
        <v>1</v>
      </c>
      <c r="I23">
        <f t="shared" si="4"/>
        <v>5</v>
      </c>
      <c r="J23">
        <f t="shared" si="5"/>
        <v>1.1000000000000001</v>
      </c>
      <c r="K23">
        <f>baseBetterNumbers(K22*J23)</f>
        <v>807</v>
      </c>
      <c r="L23">
        <f t="shared" si="6"/>
        <v>1.1000000000000001</v>
      </c>
      <c r="M23">
        <f>baseBetterNumbers(M22*L23)</f>
        <v>338</v>
      </c>
    </row>
    <row r="24" spans="2:26">
      <c r="B24">
        <v>22</v>
      </c>
      <c r="C24">
        <v>11000</v>
      </c>
      <c r="D24">
        <v>23</v>
      </c>
      <c r="E24" t="str">
        <f t="shared" si="0"/>
        <v>3h 40m</v>
      </c>
      <c r="F24">
        <v>13200</v>
      </c>
      <c r="G24">
        <f t="shared" si="2"/>
        <v>4</v>
      </c>
      <c r="H24">
        <f t="shared" si="3"/>
        <v>1</v>
      </c>
      <c r="I24">
        <f t="shared" si="4"/>
        <v>5</v>
      </c>
      <c r="J24">
        <f t="shared" si="5"/>
        <v>1.1000000000000001</v>
      </c>
      <c r="K24">
        <f>baseBetterNumbers(K23*J24)</f>
        <v>888</v>
      </c>
      <c r="L24">
        <f t="shared" si="6"/>
        <v>1.1000000000000001</v>
      </c>
      <c r="M24">
        <f>baseBetterNumbers(M23*L24)</f>
        <v>372</v>
      </c>
    </row>
    <row r="25" spans="2:26">
      <c r="B25">
        <v>23</v>
      </c>
      <c r="C25">
        <v>11500</v>
      </c>
      <c r="D25">
        <v>24</v>
      </c>
      <c r="E25" t="str">
        <f t="shared" si="0"/>
        <v>3h 50m</v>
      </c>
      <c r="F25">
        <v>13800</v>
      </c>
      <c r="G25">
        <f t="shared" si="2"/>
        <v>4</v>
      </c>
      <c r="H25">
        <f t="shared" si="3"/>
        <v>1</v>
      </c>
      <c r="I25">
        <f t="shared" si="4"/>
        <v>5</v>
      </c>
      <c r="J25">
        <f t="shared" si="5"/>
        <v>1.1000000000000001</v>
      </c>
      <c r="K25">
        <f>baseBetterNumbers(K24*J25)</f>
        <v>977</v>
      </c>
      <c r="L25">
        <f t="shared" si="6"/>
        <v>1.1000000000000001</v>
      </c>
      <c r="M25">
        <f>baseBetterNumbers(M24*L25)</f>
        <v>409</v>
      </c>
    </row>
    <row r="26" spans="2:26">
      <c r="B26">
        <v>24</v>
      </c>
      <c r="C26">
        <v>12000</v>
      </c>
      <c r="D26">
        <v>25</v>
      </c>
      <c r="E26" t="str">
        <f t="shared" si="0"/>
        <v>4h 0m</v>
      </c>
      <c r="F26">
        <v>14400</v>
      </c>
      <c r="G26">
        <f t="shared" si="2"/>
        <v>4</v>
      </c>
      <c r="H26">
        <f t="shared" si="3"/>
        <v>1</v>
      </c>
      <c r="I26">
        <f t="shared" si="4"/>
        <v>5</v>
      </c>
      <c r="J26">
        <f t="shared" si="5"/>
        <v>1.1000000000000001</v>
      </c>
      <c r="K26">
        <f>baseBetterNumbers(K25*J26)</f>
        <v>1080</v>
      </c>
      <c r="L26">
        <f t="shared" si="6"/>
        <v>1.1000000000000001</v>
      </c>
      <c r="M26">
        <f>baseBetterNumbers(M25*L26)</f>
        <v>450</v>
      </c>
    </row>
    <row r="27" spans="2:26">
      <c r="B27">
        <v>25</v>
      </c>
      <c r="C27">
        <v>12500</v>
      </c>
      <c r="D27">
        <v>26</v>
      </c>
      <c r="E27" t="str">
        <f t="shared" si="0"/>
        <v>4h 10m</v>
      </c>
      <c r="F27">
        <v>15000</v>
      </c>
      <c r="G27">
        <f t="shared" si="2"/>
        <v>4</v>
      </c>
      <c r="H27">
        <f t="shared" si="3"/>
        <v>1</v>
      </c>
      <c r="I27">
        <f t="shared" si="4"/>
        <v>5</v>
      </c>
      <c r="J27">
        <f t="shared" si="5"/>
        <v>1.1000000000000001</v>
      </c>
      <c r="K27">
        <f>baseBetterNumbers(K26*J27)</f>
        <v>1190</v>
      </c>
      <c r="L27">
        <f t="shared" si="6"/>
        <v>1.1000000000000001</v>
      </c>
      <c r="M27">
        <f>baseBetterNumbers(M26*L27)</f>
        <v>495</v>
      </c>
    </row>
    <row r="28" spans="2:26">
      <c r="B28">
        <v>26</v>
      </c>
      <c r="C28">
        <v>13000</v>
      </c>
      <c r="D28">
        <v>27</v>
      </c>
      <c r="E28" t="str">
        <f t="shared" si="0"/>
        <v>4h 20m</v>
      </c>
      <c r="F28">
        <v>15600</v>
      </c>
      <c r="G28">
        <f t="shared" si="2"/>
        <v>4</v>
      </c>
      <c r="H28">
        <f t="shared" si="3"/>
        <v>1</v>
      </c>
      <c r="I28">
        <f t="shared" si="4"/>
        <v>5</v>
      </c>
      <c r="J28">
        <f t="shared" si="5"/>
        <v>1.1000000000000001</v>
      </c>
      <c r="K28">
        <f>baseBetterNumbers(K27*J28)</f>
        <v>1310</v>
      </c>
      <c r="L28">
        <f t="shared" si="6"/>
        <v>1.1000000000000001</v>
      </c>
      <c r="M28">
        <f>baseBetterNumbers(M27*L28)</f>
        <v>544</v>
      </c>
    </row>
    <row r="29" spans="2:26">
      <c r="B29">
        <v>27</v>
      </c>
      <c r="C29">
        <v>13500</v>
      </c>
      <c r="D29">
        <v>28</v>
      </c>
      <c r="E29" t="str">
        <f t="shared" si="0"/>
        <v>4h 30m</v>
      </c>
      <c r="F29">
        <v>16200</v>
      </c>
      <c r="G29">
        <f t="shared" si="2"/>
        <v>4</v>
      </c>
      <c r="H29">
        <f t="shared" si="3"/>
        <v>1</v>
      </c>
      <c r="I29">
        <f t="shared" si="4"/>
        <v>5</v>
      </c>
      <c r="J29">
        <f t="shared" si="5"/>
        <v>1.1000000000000001</v>
      </c>
      <c r="K29">
        <f>baseBetterNumbers(K28*J29)</f>
        <v>1440</v>
      </c>
      <c r="L29">
        <f t="shared" si="6"/>
        <v>1.1000000000000001</v>
      </c>
      <c r="M29">
        <f>baseBetterNumbers(M28*L29)</f>
        <v>598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Numbers</vt:lpstr>
      <vt:lpstr>Missions</vt:lpstr>
      <vt:lpstr>ms</vt:lpstr>
      <vt:lpstr>Bots</vt:lpstr>
      <vt:lpstr>Conf</vt:lpstr>
      <vt:lpstr>Levels</vt:lpstr>
      <vt:lpstr>codeLevels</vt:lpstr>
      <vt:lpstr>Quests</vt:lpstr>
      <vt:lpstr>Chests</vt:lpstr>
      <vt:lpstr>CodedChest</vt:lpstr>
      <vt:lpstr>BlitzCoin</vt:lpstr>
      <vt:lpstr>Battle</vt:lpstr>
      <vt:lpstr>Units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Wee</cp:lastModifiedBy>
  <cp:lastPrinted>2018-12-02T20:50:41Z</cp:lastPrinted>
  <dcterms:created xsi:type="dcterms:W3CDTF">2018-11-26T23:15:20Z</dcterms:created>
  <dcterms:modified xsi:type="dcterms:W3CDTF">2019-06-06T13:13:01Z</dcterms:modified>
</cp:coreProperties>
</file>